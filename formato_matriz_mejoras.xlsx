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F:\FACTURAS\"/>
    </mc:Choice>
  </mc:AlternateContent>
  <xr:revisionPtr revIDLastSave="0" documentId="13_ncr:1_{90EBF2DA-ACA4-4CFF-A74C-5AFC9FA8012B}" xr6:coauthVersionLast="47" xr6:coauthVersionMax="47" xr10:uidLastSave="{00000000-0000-0000-0000-000000000000}"/>
  <bookViews>
    <workbookView xWindow="-108" yWindow="-108" windowWidth="23256" windowHeight="12456" tabRatio="705" xr2:uid="{00000000-000D-0000-FFFF-FFFF00000000}"/>
  </bookViews>
  <sheets>
    <sheet name="Portada" sheetId="24" r:id="rId1"/>
    <sheet name="Matriz mejoras" sheetId="3" r:id="rId2"/>
    <sheet name="Gráficas" sheetId="9" r:id="rId3"/>
    <sheet name="Metodología y Marco Teórico" sheetId="21" r:id="rId4"/>
  </sheets>
  <definedNames>
    <definedName name="_xlnm._FilterDatabase" localSheetId="1" hidden="1">'Matriz mejoras'!$A$4:$U$9</definedName>
    <definedName name="_xlnm.Print_Area" localSheetId="2">Gráficas!$B$1:$AB$99</definedName>
    <definedName name="_xlnm.Print_Area" localSheetId="1">'Matriz mejoras'!$A$1:$U$9</definedName>
    <definedName name="_xlnm.Print_Area" localSheetId="0">Portada!$A$1:$W$35</definedName>
    <definedName name="SegmentaciónDeDatos_CENTRO_DE_TRABAJO">#N/A</definedName>
    <definedName name="SegmentaciónDeDatos_PRIORIDAD">#N/A</definedName>
    <definedName name="_xlnm.Print_Titles" localSheetId="2">Gráficas!$1:$3</definedName>
    <definedName name="_xlnm.Print_Titles" localSheetId="1">'Matriz mejoras'!$1:$4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6" i="21" l="1"/>
  <c r="AE7" i="21"/>
  <c r="AE8" i="21"/>
  <c r="AE9" i="21"/>
  <c r="AE10" i="21"/>
  <c r="AD7" i="21"/>
  <c r="AD8" i="21"/>
  <c r="AD9" i="21"/>
  <c r="AD10" i="21"/>
  <c r="AD6" i="21"/>
  <c r="BJ7" i="21" l="1"/>
  <c r="BI5" i="21"/>
  <c r="AE11" i="21"/>
  <c r="E22" i="9" s="1"/>
  <c r="BI7" i="21" l="1"/>
  <c r="BK7" i="21" s="1"/>
  <c r="BK5" i="21" l="1"/>
  <c r="A6" i="3" l="1"/>
  <c r="BM7" i="21" l="1"/>
</calcChain>
</file>

<file path=xl/sharedStrings.xml><?xml version="1.0" encoding="utf-8"?>
<sst xmlns="http://schemas.openxmlformats.org/spreadsheetml/2006/main" count="256" uniqueCount="150">
  <si>
    <t>CLIENTE</t>
  </si>
  <si>
    <t>Etiquetas de fila</t>
  </si>
  <si>
    <t xml:space="preserve">Cuenta de ESTADO </t>
  </si>
  <si>
    <t>Etiquetas de columna</t>
  </si>
  <si>
    <t>Cuenta de PRIORIDAD</t>
  </si>
  <si>
    <t>AÑO</t>
  </si>
  <si>
    <t>EN PROCESO</t>
  </si>
  <si>
    <t>ALTA</t>
  </si>
  <si>
    <t>BAJA</t>
  </si>
  <si>
    <t>Total general</t>
  </si>
  <si>
    <t>MEDIA</t>
  </si>
  <si>
    <t xml:space="preserve">El presente informe tiene el carácter de un concepto técnico. Las conclusiones y/o recomendaciones en él contenidas se emiten en razón de la especialidad de los profesionales que intervinieron en su realización y no tienen carácter vinculante ni obligatorio. </t>
  </si>
  <si>
    <t>FECHA DE LA INSPECCIÓN</t>
  </si>
  <si>
    <t>FECHA DEL SEGUIMIENTO</t>
  </si>
  <si>
    <t>N°</t>
  </si>
  <si>
    <t>DÍA</t>
  </si>
  <si>
    <t>MES</t>
  </si>
  <si>
    <t>CENTRO DE TRABAJO</t>
  </si>
  <si>
    <t>IDENTIFICADO POR</t>
  </si>
  <si>
    <t>CIUDAD</t>
  </si>
  <si>
    <t>HALLAZGO</t>
  </si>
  <si>
    <t>EVIDENCIA</t>
  </si>
  <si>
    <t>LUGAR / ÁREA</t>
  </si>
  <si>
    <t>PRIORIDAD</t>
  </si>
  <si>
    <t>RECOMENDACIÓN</t>
  </si>
  <si>
    <t>FECHA  EJECUCIÓN</t>
  </si>
  <si>
    <t xml:space="preserve"> DÍA</t>
  </si>
  <si>
    <t xml:space="preserve"> MES</t>
  </si>
  <si>
    <t xml:space="preserve"> AÑO</t>
  </si>
  <si>
    <t xml:space="preserve">ESTADO </t>
  </si>
  <si>
    <t>Sección</t>
  </si>
  <si>
    <t>Detalle</t>
  </si>
  <si>
    <t>FECHA INSPECCIÓN</t>
  </si>
  <si>
    <t>Nombre de la empresa usuaria o del centro de trabajo</t>
  </si>
  <si>
    <t>Se realiza la descripción del hallazgo encontrado en la inspección de seguridad</t>
  </si>
  <si>
    <t>SE UBICA EL REGISTRO FOTOGRÁFICO</t>
  </si>
  <si>
    <t>PASOS PARA AJUSTAR IMAGEN 
1 FORMATO DE IMAGEN
2 TAMAÑO DE IMAGEN
3 PROPIEDADES
4 MOVER Y  CAMBIAR IMAGEN CON LA CELDA</t>
  </si>
  <si>
    <t>LUGAR O ÁREA</t>
  </si>
  <si>
    <t>Se refiere a una condición o acto no destructivo con capacidad de sufrir lesiones o enfermedades leves (no incapacitantes) o daños triviales a las estructuras. Intervención Posterior</t>
  </si>
  <si>
    <t>Una condición o acto peligroso que puede traer como consecuencia una lesión con incapacidad parcial temporal, una enfermedad grave o un daño estructural menos grave que el de la clasificación anterior. Intervención Pronta</t>
  </si>
  <si>
    <t>Hace referencia a condiciones o actos que entrañan la capacidad potencial de ocasionar lesiones con incapacidades permanentes, pérdida de la vida o daños muy representativos al proceso, a las estructuras, a los equipos o los materiales. Intervención Inmediata.</t>
  </si>
  <si>
    <t>Se describe la acción que puede dar solución al hallazgo</t>
  </si>
  <si>
    <t>Se escribe el nombre de la personal que va a ejecutar la posible acción</t>
  </si>
  <si>
    <t>SEGUIMIENTO</t>
  </si>
  <si>
    <t>Puedes ubicar la evidencia fotográfica o describir como se realiza el cumplimiento del hallazgo</t>
  </si>
  <si>
    <t>Se escribe la fecha de ejecución o verificación de la mejoras realizada</t>
  </si>
  <si>
    <t>ESTADO</t>
  </si>
  <si>
    <t>Es cuando el hallazgo después del seguimiento el cliente no lo ha gestionado</t>
  </si>
  <si>
    <t xml:space="preserve">Es cuando el hallazgo se esta gestionando </t>
  </si>
  <si>
    <t>Es cuando el hallazgo se da por cerrado</t>
  </si>
  <si>
    <t>Es cuando el hallazgo el cliente no va a realizar el cierre del hallazgo por traslado de sede o cambio de maquinaria, entre otros</t>
  </si>
  <si>
    <t>EMPRESA DESAFILADA</t>
  </si>
  <si>
    <t>Es cuando el cliente o el centro de trabajo esta desafiliado y ya no existe el riesgo</t>
  </si>
  <si>
    <t>" El presente informe tiene el carácter de un concepto técnico. Las conclusiones y/o recomendaciones en él contenidas se emiten en razón de la especialidad de los profesionales que intervinieron en su realización y no tienen carácter vinculante ni obligatorio"</t>
  </si>
  <si>
    <t>XXXXXXXX</t>
  </si>
  <si>
    <t>DESCRIPCIÓN DE LA RECOMENDACIÓN</t>
  </si>
  <si>
    <t>NORMATIVIDAD APLICABLE</t>
  </si>
  <si>
    <t>CONTROL SUGERIDO</t>
  </si>
  <si>
    <t>INFORME DE PRESTACIÓN DEL SERVICIO</t>
  </si>
  <si>
    <t>PRECENCIAL</t>
  </si>
  <si>
    <t>VIRTUAL</t>
  </si>
  <si>
    <t>FECHA DE PRESTACIÓN DEL SERVICIO:</t>
  </si>
  <si>
    <t>EMPRESA</t>
  </si>
  <si>
    <t>CONTRATO ARL</t>
  </si>
  <si>
    <t>NIT</t>
  </si>
  <si>
    <t>PRESTADOR</t>
  </si>
  <si>
    <t>CONSULTOR</t>
  </si>
  <si>
    <t>CONTACTO DE LA EMPRESA</t>
  </si>
  <si>
    <t>CARGO</t>
  </si>
  <si>
    <t>INTRODUCCIÓN</t>
  </si>
  <si>
    <t>OBJETIVO GENERAL</t>
  </si>
  <si>
    <t>OBJETIVO ESPECÍFICO</t>
  </si>
  <si>
    <t xml:space="preserve"> MARCO LEGAL </t>
  </si>
  <si>
    <t>MARCO CONCEPTUAL</t>
  </si>
  <si>
    <t>HALLAZGOS/ANÁLISIS</t>
  </si>
  <si>
    <t>RECOMENDACIONES</t>
  </si>
  <si>
    <t>BIBLIOGRAFÍA</t>
  </si>
  <si>
    <t>ESTRATEGIA / PROGRAMA:</t>
  </si>
  <si>
    <t>ABIERTO</t>
  </si>
  <si>
    <t>CERRADO</t>
  </si>
  <si>
    <t>NO VIABLE</t>
  </si>
  <si>
    <t>PELIGRO IDENTIFICADO</t>
  </si>
  <si>
    <t>TOTAL DE HALLAZGOS</t>
  </si>
  <si>
    <t>(en blanco)</t>
  </si>
  <si>
    <t>Biológico</t>
  </si>
  <si>
    <t>Trabajo en alturas</t>
  </si>
  <si>
    <t>Biomecánico</t>
  </si>
  <si>
    <t>HALLAZGOS IDENTIFICADOS</t>
  </si>
  <si>
    <t>ARL</t>
  </si>
  <si>
    <t>CGR</t>
  </si>
  <si>
    <t>HALLAZGOS IDENTIFICADO POR PELIGRO IDENTIFICADO</t>
  </si>
  <si>
    <t>CENTROS DE TRABAJO</t>
  </si>
  <si>
    <t>INFORME DE SEGUIMIENTO DE MEJORAS</t>
  </si>
  <si>
    <t>META</t>
  </si>
  <si>
    <t>PRAV</t>
  </si>
  <si>
    <t>LINEA</t>
  </si>
  <si>
    <t>VACIO</t>
  </si>
  <si>
    <t>ROJO</t>
  </si>
  <si>
    <t>NARANJA</t>
  </si>
  <si>
    <t>AMARILLO</t>
  </si>
  <si>
    <t>VERDE</t>
  </si>
  <si>
    <t>TOTAL</t>
  </si>
  <si>
    <t>CERRADAS</t>
  </si>
  <si>
    <t>Fuente</t>
  </si>
  <si>
    <t>Medio</t>
  </si>
  <si>
    <t>Trabajador</t>
  </si>
  <si>
    <t>HALLAZGOS POR CONTROL SUGERIDO</t>
  </si>
  <si>
    <t>FUENTE</t>
  </si>
  <si>
    <t>MEDIO</t>
  </si>
  <si>
    <t>TRABAJADOR</t>
  </si>
  <si>
    <t>Accidente de tránsito</t>
  </si>
  <si>
    <t>* Alerta de Seguridad</t>
  </si>
  <si>
    <t xml:space="preserve">Químico </t>
  </si>
  <si>
    <t xml:space="preserve">Psicosocial </t>
  </si>
  <si>
    <t xml:space="preserve">Eléctrico </t>
  </si>
  <si>
    <t xml:space="preserve">Locativo </t>
  </si>
  <si>
    <t>Tecnológico (explosión, fuga, derrame, incendio)</t>
  </si>
  <si>
    <t xml:space="preserve">Público </t>
  </si>
  <si>
    <t xml:space="preserve">Trabajo en alturas </t>
  </si>
  <si>
    <t xml:space="preserve">Espacios confinados </t>
  </si>
  <si>
    <t xml:space="preserve">Se describe la norma tecnica o marco legal </t>
  </si>
  <si>
    <t>ACTUALIZAR GRAFICAS</t>
  </si>
  <si>
    <t>Debe oprimir las teclas Ctrl + Alt + F5</t>
  </si>
  <si>
    <t>Los hallazgos están contemplados en la Hoja: Matriz de mejoras</t>
  </si>
  <si>
    <t>Las recomendaciones están contemplados en la Hoja: Matriz de mejoras</t>
  </si>
  <si>
    <t>RESPONSABLE</t>
  </si>
  <si>
    <t>SEDE / CIUDAD</t>
  </si>
  <si>
    <t>FECHA DE ENTREGA DEL INFORME</t>
  </si>
  <si>
    <t>TAREA Y NÚMERO DE ORIENTACIÓN DE SERVICIO</t>
  </si>
  <si>
    <t>METODOLOGÍA Y MARCO TEÓRICO</t>
  </si>
  <si>
    <t>La metodología y marco teórico está contemplada en la hoja: Metodología y marco teórico</t>
  </si>
  <si>
    <t>El marco legal está contemplada en la hoja: Matriz de mejoras ( columna O )</t>
  </si>
  <si>
    <t>Para actualizar las gráficas: debe  oprimir las teclas Ctrl + Alt + F5</t>
  </si>
  <si>
    <t>MATRIZ  DE MEJORAS</t>
  </si>
  <si>
    <t>Se realiza visita de campo con el equipo de HSE de la empresa para identificar las condiciones de riesgo y definir controles.
Los hallazgos se consolidan en este formato de matiz de mejoras para facilitar la identificación y el seguimiento</t>
  </si>
  <si>
    <t>INSTRUCTIVO MATRIZ DE MEJORAS</t>
  </si>
  <si>
    <t>Se escribe la fecha en que se realizó la inspección</t>
  </si>
  <si>
    <t>Nombre de la persona o distribuidor que identificó el hallazgo</t>
  </si>
  <si>
    <t>Nombre de la ciudad donde se identificó el hallazgo</t>
  </si>
  <si>
    <t>Nombre del área o lugar donde se identificó el hallazgo</t>
  </si>
  <si>
    <t>Son los controles sugeridos en las personas expuestas al peligro</t>
  </si>
  <si>
    <t>Son los controles en el entorno o vía que transmite el peligro desde la fuente hasta el individuo.</t>
  </si>
  <si>
    <t xml:space="preserve">Son los controles en el origen del riesgo, como un equipo defectuoso, un producto químico peligroso, o un proceso que genera ruido excesivo. </t>
  </si>
  <si>
    <t>FECHA EJECUCIÓN</t>
  </si>
  <si>
    <t xml:space="preserve">Físico </t>
  </si>
  <si>
    <t>Trabajos en caliente</t>
  </si>
  <si>
    <t>Izaje de cargas</t>
  </si>
  <si>
    <t>Excavaciones</t>
  </si>
  <si>
    <t>Energías Peligrosas</t>
  </si>
  <si>
    <t xml:space="preserve">Mecánico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</si>
</sst>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8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8"/>
      <color theme="1"/>
      <name val="Arial"/>
      <family val="2"/>
    </font>
    <font>
      <b/>
      <sz val="14"/>
      <color theme="1"/>
      <name val="Arial"/>
      <family val="2"/>
    </font>
    <font>
      <b/>
      <sz val="14"/>
      <color rgb="FF002060"/>
      <name val="Arial"/>
      <family val="2"/>
    </font>
    <font>
      <sz val="11"/>
      <color rgb="FF000000"/>
      <name val="Arial"/>
      <family val="2"/>
    </font>
    <font>
      <b/>
      <sz val="18"/>
      <color rgb="FF002060"/>
      <name val="Arial"/>
      <family val="2"/>
    </font>
    <font>
      <sz val="11"/>
      <color theme="0"/>
      <name val="Arial"/>
      <family val="2"/>
    </font>
    <font>
      <sz val="10"/>
      <name val="Arial"/>
      <family val="2"/>
    </font>
    <font>
      <b/>
      <sz val="14"/>
      <color theme="0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0"/>
      <name val="Arial"/>
      <family val="2"/>
    </font>
    <font>
      <sz val="18"/>
      <color theme="0"/>
      <name val="Arial"/>
      <family val="2"/>
    </font>
    <font>
      <b/>
      <sz val="18"/>
      <color theme="0"/>
      <name val="Arial"/>
      <family val="2"/>
    </font>
    <font>
      <b/>
      <sz val="20"/>
      <color theme="1"/>
      <name val="Arial"/>
      <family val="2"/>
    </font>
    <font>
      <b/>
      <sz val="24"/>
      <color theme="1"/>
      <name val="Arial"/>
      <family val="2"/>
    </font>
    <font>
      <sz val="18"/>
      <color rgb="FFFF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33A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34BC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0" fillId="0" borderId="0"/>
    <xf numFmtId="0" fontId="10" fillId="0" borderId="0"/>
    <xf numFmtId="0" fontId="14" fillId="0" borderId="0"/>
  </cellStyleXfs>
  <cellXfs count="210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 wrapText="1"/>
    </xf>
    <xf numFmtId="0" fontId="6" fillId="0" borderId="0" xfId="0" applyFont="1" applyAlignment="1" applyProtection="1">
      <alignment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0" fillId="0" borderId="11" xfId="0" applyBorder="1"/>
    <xf numFmtId="0" fontId="3" fillId="0" borderId="0" xfId="0" applyFont="1" applyProtection="1">
      <protection hidden="1"/>
    </xf>
    <xf numFmtId="0" fontId="3" fillId="0" borderId="14" xfId="0" applyFont="1" applyBorder="1"/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5" xfId="0" applyFont="1" applyBorder="1"/>
    <xf numFmtId="0" fontId="3" fillId="0" borderId="9" xfId="0" applyFont="1" applyBorder="1"/>
    <xf numFmtId="0" fontId="3" fillId="0" borderId="6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 applyAlignment="1">
      <alignment horizontal="justify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justify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justify" vertical="center"/>
    </xf>
    <xf numFmtId="10" fontId="0" fillId="0" borderId="0" xfId="0" applyNumberFormat="1"/>
    <xf numFmtId="0" fontId="3" fillId="9" borderId="2" xfId="0" applyFont="1" applyFill="1" applyBorder="1" applyAlignment="1" applyProtection="1">
      <alignment horizontal="center" vertical="center" wrapText="1"/>
      <protection locked="0"/>
    </xf>
    <xf numFmtId="0" fontId="3" fillId="7" borderId="2" xfId="0" applyFont="1" applyFill="1" applyBorder="1" applyAlignment="1" applyProtection="1">
      <alignment horizontal="center" vertical="center" wrapText="1"/>
      <protection locked="0"/>
    </xf>
    <xf numFmtId="0" fontId="3" fillId="5" borderId="2" xfId="0" applyFont="1" applyFill="1" applyBorder="1" applyAlignment="1" applyProtection="1">
      <alignment horizontal="center" vertical="center" wrapText="1"/>
      <protection locked="0"/>
    </xf>
    <xf numFmtId="0" fontId="3" fillId="7" borderId="1" xfId="0" applyFont="1" applyFill="1" applyBorder="1" applyAlignment="1" applyProtection="1">
      <alignment vertical="center" wrapText="1"/>
      <protection locked="0"/>
    </xf>
    <xf numFmtId="0" fontId="3" fillId="5" borderId="1" xfId="0" applyFont="1" applyFill="1" applyBorder="1" applyAlignment="1" applyProtection="1">
      <alignment vertical="center" wrapText="1"/>
      <protection locked="0"/>
    </xf>
    <xf numFmtId="0" fontId="3" fillId="8" borderId="1" xfId="0" applyFont="1" applyFill="1" applyBorder="1" applyAlignment="1" applyProtection="1">
      <alignment vertical="center" wrapText="1"/>
      <protection locked="0"/>
    </xf>
    <xf numFmtId="0" fontId="3" fillId="6" borderId="8" xfId="0" applyFont="1" applyFill="1" applyBorder="1" applyAlignment="1" applyProtection="1">
      <alignment vertical="center" wrapText="1"/>
      <protection locked="0"/>
    </xf>
    <xf numFmtId="0" fontId="5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 wrapText="1"/>
    </xf>
    <xf numFmtId="0" fontId="6" fillId="0" borderId="11" xfId="0" applyFont="1" applyBorder="1" applyAlignment="1" applyProtection="1">
      <alignment horizontal="center" vertical="center"/>
      <protection hidden="1"/>
    </xf>
    <xf numFmtId="0" fontId="6" fillId="0" borderId="12" xfId="0" applyFont="1" applyBorder="1" applyAlignment="1" applyProtection="1">
      <alignment horizontal="center" vertical="center"/>
      <protection hidden="1"/>
    </xf>
    <xf numFmtId="0" fontId="15" fillId="2" borderId="0" xfId="3" applyFont="1" applyFill="1" applyAlignment="1" applyProtection="1">
      <alignment vertical="center" wrapText="1"/>
      <protection locked="0"/>
    </xf>
    <xf numFmtId="0" fontId="16" fillId="0" borderId="0" xfId="3" applyFont="1" applyAlignment="1" applyProtection="1">
      <alignment vertical="center"/>
      <protection locked="0"/>
    </xf>
    <xf numFmtId="0" fontId="16" fillId="0" borderId="0" xfId="3" applyFont="1"/>
    <xf numFmtId="0" fontId="17" fillId="2" borderId="19" xfId="3" applyFont="1" applyFill="1" applyBorder="1" applyAlignment="1" applyProtection="1">
      <alignment horizontal="right" vertical="center" wrapText="1"/>
      <protection hidden="1"/>
    </xf>
    <xf numFmtId="0" fontId="17" fillId="2" borderId="0" xfId="3" applyFont="1" applyFill="1" applyAlignment="1" applyProtection="1">
      <alignment horizontal="right" vertical="center" wrapText="1"/>
      <protection hidden="1"/>
    </xf>
    <xf numFmtId="0" fontId="17" fillId="2" borderId="20" xfId="3" applyFont="1" applyFill="1" applyBorder="1" applyAlignment="1" applyProtection="1">
      <alignment horizontal="right" vertical="center" wrapText="1"/>
      <protection hidden="1"/>
    </xf>
    <xf numFmtId="0" fontId="16" fillId="2" borderId="0" xfId="3" applyFont="1" applyFill="1" applyAlignment="1" applyProtection="1">
      <alignment vertical="center"/>
      <protection locked="0"/>
    </xf>
    <xf numFmtId="0" fontId="16" fillId="2" borderId="0" xfId="3" applyFont="1" applyFill="1"/>
    <xf numFmtId="0" fontId="18" fillId="2" borderId="0" xfId="3" applyFont="1" applyFill="1" applyAlignment="1" applyProtection="1">
      <alignment vertical="center"/>
      <protection locked="0"/>
    </xf>
    <xf numFmtId="0" fontId="21" fillId="0" borderId="0" xfId="0" applyFont="1"/>
    <xf numFmtId="0" fontId="9" fillId="0" borderId="9" xfId="0" applyFont="1" applyBorder="1" applyProtection="1">
      <protection hidden="1"/>
    </xf>
    <xf numFmtId="0" fontId="9" fillId="0" borderId="6" xfId="0" applyFont="1" applyBorder="1" applyProtection="1">
      <protection hidden="1"/>
    </xf>
    <xf numFmtId="0" fontId="9" fillId="0" borderId="10" xfId="0" applyFont="1" applyBorder="1" applyProtection="1">
      <protection hidden="1"/>
    </xf>
    <xf numFmtId="0" fontId="9" fillId="0" borderId="11" xfId="0" applyFont="1" applyBorder="1" applyProtection="1">
      <protection hidden="1"/>
    </xf>
    <xf numFmtId="0" fontId="9" fillId="0" borderId="12" xfId="0" applyFont="1" applyBorder="1" applyProtection="1">
      <protection hidden="1"/>
    </xf>
    <xf numFmtId="0" fontId="9" fillId="0" borderId="13" xfId="0" applyFont="1" applyBorder="1" applyProtection="1">
      <protection hidden="1"/>
    </xf>
    <xf numFmtId="0" fontId="9" fillId="0" borderId="14" xfId="0" applyFont="1" applyBorder="1" applyProtection="1">
      <protection hidden="1"/>
    </xf>
    <xf numFmtId="0" fontId="9" fillId="0" borderId="15" xfId="0" applyFont="1" applyBorder="1" applyProtection="1">
      <protection hidden="1"/>
    </xf>
    <xf numFmtId="0" fontId="9" fillId="0" borderId="0" xfId="0" applyFont="1" applyProtection="1"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13" fillId="0" borderId="0" xfId="0" applyFont="1" applyAlignment="1">
      <alignment horizontal="left" vertical="center" wrapText="1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0" fontId="3" fillId="13" borderId="1" xfId="0" applyFont="1" applyFill="1" applyBorder="1" applyAlignment="1" applyProtection="1">
      <alignment vertical="center" wrapText="1"/>
      <protection locked="0"/>
    </xf>
    <xf numFmtId="0" fontId="13" fillId="0" borderId="14" xfId="0" applyFont="1" applyBorder="1" applyAlignment="1">
      <alignment vertical="center" wrapText="1"/>
    </xf>
    <xf numFmtId="0" fontId="18" fillId="11" borderId="26" xfId="3" applyFont="1" applyFill="1" applyBorder="1" applyAlignment="1" applyProtection="1">
      <alignment horizontal="center" vertical="center"/>
      <protection hidden="1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3" fillId="0" borderId="7" xfId="0" applyFont="1" applyBorder="1" applyAlignment="1" applyProtection="1">
      <alignment horizontal="left" vertical="center" wrapText="1"/>
      <protection locked="0"/>
    </xf>
    <xf numFmtId="0" fontId="3" fillId="0" borderId="3" xfId="0" applyFont="1" applyBorder="1" applyAlignment="1" applyProtection="1">
      <alignment horizontal="left" vertical="center" wrapText="1"/>
      <protection locked="0"/>
    </xf>
    <xf numFmtId="0" fontId="3" fillId="0" borderId="2" xfId="0" applyFont="1" applyBorder="1" applyAlignment="1" applyProtection="1">
      <alignment horizontal="left" vertical="center" wrapText="1"/>
      <protection locked="0"/>
    </xf>
    <xf numFmtId="0" fontId="18" fillId="11" borderId="26" xfId="3" applyFont="1" applyFill="1" applyBorder="1" applyAlignment="1" applyProtection="1">
      <alignment horizontal="center" vertical="center"/>
      <protection hidden="1"/>
    </xf>
    <xf numFmtId="0" fontId="18" fillId="11" borderId="7" xfId="3" applyFont="1" applyFill="1" applyBorder="1" applyAlignment="1" applyProtection="1">
      <alignment horizontal="center" vertical="center"/>
      <protection hidden="1"/>
    </xf>
    <xf numFmtId="0" fontId="18" fillId="11" borderId="3" xfId="3" applyFont="1" applyFill="1" applyBorder="1" applyAlignment="1" applyProtection="1">
      <alignment horizontal="center" vertical="center"/>
      <protection hidden="1"/>
    </xf>
    <xf numFmtId="0" fontId="16" fillId="0" borderId="24" xfId="3" applyFont="1" applyBorder="1" applyAlignment="1" applyProtection="1">
      <alignment horizontal="left" vertical="center" wrapText="1"/>
      <protection hidden="1"/>
    </xf>
    <xf numFmtId="0" fontId="16" fillId="0" borderId="1" xfId="3" applyFont="1" applyBorder="1" applyAlignment="1" applyProtection="1">
      <alignment horizontal="left" vertical="center" wrapText="1"/>
      <protection hidden="1"/>
    </xf>
    <xf numFmtId="0" fontId="16" fillId="0" borderId="25" xfId="3" applyFont="1" applyBorder="1" applyAlignment="1" applyProtection="1">
      <alignment horizontal="left" vertical="center" wrapText="1"/>
      <protection hidden="1"/>
    </xf>
    <xf numFmtId="0" fontId="15" fillId="2" borderId="16" xfId="3" applyFont="1" applyFill="1" applyBorder="1" applyAlignment="1" applyProtection="1">
      <alignment horizontal="center" vertical="center" wrapText="1"/>
      <protection locked="0"/>
    </xf>
    <xf numFmtId="0" fontId="15" fillId="2" borderId="17" xfId="3" applyFont="1" applyFill="1" applyBorder="1" applyAlignment="1" applyProtection="1">
      <alignment horizontal="center" vertical="center" wrapText="1"/>
      <protection locked="0"/>
    </xf>
    <xf numFmtId="0" fontId="15" fillId="2" borderId="18" xfId="3" applyFont="1" applyFill="1" applyBorder="1" applyAlignment="1" applyProtection="1">
      <alignment horizontal="center" vertical="center" wrapText="1"/>
      <protection locked="0"/>
    </xf>
    <xf numFmtId="0" fontId="15" fillId="2" borderId="19" xfId="3" applyFont="1" applyFill="1" applyBorder="1" applyAlignment="1" applyProtection="1">
      <alignment horizontal="center" vertical="center" wrapText="1"/>
      <protection locked="0"/>
    </xf>
    <xf numFmtId="0" fontId="15" fillId="2" borderId="0" xfId="3" applyFont="1" applyFill="1" applyAlignment="1" applyProtection="1">
      <alignment horizontal="center" vertical="center" wrapText="1"/>
      <protection locked="0"/>
    </xf>
    <xf numFmtId="0" fontId="15" fillId="2" borderId="20" xfId="3" applyFont="1" applyFill="1" applyBorder="1" applyAlignment="1" applyProtection="1">
      <alignment horizontal="center" vertical="center" wrapText="1"/>
      <protection locked="0"/>
    </xf>
    <xf numFmtId="0" fontId="15" fillId="2" borderId="21" xfId="3" applyFont="1" applyFill="1" applyBorder="1" applyAlignment="1" applyProtection="1">
      <alignment horizontal="center" vertical="center" wrapText="1"/>
      <protection locked="0"/>
    </xf>
    <xf numFmtId="0" fontId="15" fillId="2" borderId="22" xfId="3" applyFont="1" applyFill="1" applyBorder="1" applyAlignment="1" applyProtection="1">
      <alignment horizontal="center" vertical="center" wrapText="1"/>
      <protection locked="0"/>
    </xf>
    <xf numFmtId="0" fontId="15" fillId="2" borderId="23" xfId="3" applyFont="1" applyFill="1" applyBorder="1" applyAlignment="1" applyProtection="1">
      <alignment horizontal="center" vertical="center" wrapText="1"/>
      <protection locked="0"/>
    </xf>
    <xf numFmtId="0" fontId="20" fillId="0" borderId="2" xfId="3" applyFont="1" applyBorder="1" applyAlignment="1" applyProtection="1">
      <alignment horizontal="center" vertical="center" wrapText="1"/>
      <protection hidden="1"/>
    </xf>
    <xf numFmtId="0" fontId="20" fillId="0" borderId="7" xfId="3" applyFont="1" applyBorder="1" applyAlignment="1" applyProtection="1">
      <alignment horizontal="center" vertical="center" wrapText="1"/>
      <protection hidden="1"/>
    </xf>
    <xf numFmtId="0" fontId="20" fillId="0" borderId="27" xfId="3" applyFont="1" applyBorder="1" applyAlignment="1" applyProtection="1">
      <alignment horizontal="center" vertical="center" wrapText="1"/>
      <protection hidden="1"/>
    </xf>
    <xf numFmtId="0" fontId="16" fillId="0" borderId="33" xfId="3" applyFont="1" applyBorder="1" applyAlignment="1" applyProtection="1">
      <alignment horizontal="justify" vertical="center" wrapText="1"/>
      <protection hidden="1"/>
    </xf>
    <xf numFmtId="0" fontId="16" fillId="0" borderId="1" xfId="3" applyFont="1" applyBorder="1" applyAlignment="1" applyProtection="1">
      <alignment horizontal="justify" vertical="center" wrapText="1"/>
      <protection hidden="1"/>
    </xf>
    <xf numFmtId="0" fontId="16" fillId="0" borderId="25" xfId="3" applyFont="1" applyBorder="1" applyAlignment="1" applyProtection="1">
      <alignment horizontal="justify" vertical="center" wrapText="1"/>
      <protection hidden="1"/>
    </xf>
    <xf numFmtId="0" fontId="16" fillId="0" borderId="26" xfId="3" applyFont="1" applyBorder="1" applyAlignment="1" applyProtection="1">
      <alignment horizontal="left" vertical="center" wrapText="1"/>
      <protection hidden="1"/>
    </xf>
    <xf numFmtId="0" fontId="16" fillId="0" borderId="7" xfId="3" applyFont="1" applyBorder="1" applyAlignment="1" applyProtection="1">
      <alignment horizontal="left" vertical="center" wrapText="1"/>
      <protection hidden="1"/>
    </xf>
    <xf numFmtId="0" fontId="16" fillId="0" borderId="27" xfId="3" applyFont="1" applyBorder="1" applyAlignment="1" applyProtection="1">
      <alignment horizontal="left" vertical="center" wrapText="1"/>
      <protection hidden="1"/>
    </xf>
    <xf numFmtId="0" fontId="18" fillId="11" borderId="24" xfId="3" applyFont="1" applyFill="1" applyBorder="1" applyAlignment="1" applyProtection="1">
      <alignment horizontal="left" vertical="center" indent="1"/>
      <protection locked="0"/>
    </xf>
    <xf numFmtId="0" fontId="18" fillId="11" borderId="1" xfId="3" applyFont="1" applyFill="1" applyBorder="1" applyAlignment="1" applyProtection="1">
      <alignment horizontal="left" vertical="center" indent="1"/>
      <protection locked="0"/>
    </xf>
    <xf numFmtId="0" fontId="16" fillId="0" borderId="1" xfId="3" applyFont="1" applyBorder="1" applyAlignment="1" applyProtection="1">
      <alignment horizontal="center" vertical="center"/>
      <protection hidden="1"/>
    </xf>
    <xf numFmtId="0" fontId="18" fillId="11" borderId="2" xfId="3" applyFont="1" applyFill="1" applyBorder="1" applyAlignment="1" applyProtection="1">
      <alignment horizontal="left" vertical="center" indent="1"/>
      <protection locked="0"/>
    </xf>
    <xf numFmtId="0" fontId="18" fillId="11" borderId="3" xfId="3" applyFont="1" applyFill="1" applyBorder="1" applyAlignment="1" applyProtection="1">
      <alignment horizontal="left" vertical="center" indent="1"/>
      <protection locked="0"/>
    </xf>
    <xf numFmtId="0" fontId="16" fillId="0" borderId="1" xfId="3" applyFont="1" applyBorder="1" applyAlignment="1" applyProtection="1">
      <alignment horizontal="center" vertical="center" wrapText="1"/>
      <protection hidden="1"/>
    </xf>
    <xf numFmtId="0" fontId="16" fillId="0" borderId="25" xfId="3" applyFont="1" applyBorder="1" applyAlignment="1" applyProtection="1">
      <alignment horizontal="center" vertical="center" wrapText="1"/>
      <protection hidden="1"/>
    </xf>
    <xf numFmtId="0" fontId="18" fillId="11" borderId="28" xfId="3" applyFont="1" applyFill="1" applyBorder="1" applyAlignment="1" applyProtection="1">
      <alignment horizontal="left" vertical="center" indent="1"/>
      <protection locked="0"/>
    </xf>
    <xf numFmtId="0" fontId="18" fillId="11" borderId="29" xfId="3" applyFont="1" applyFill="1" applyBorder="1" applyAlignment="1" applyProtection="1">
      <alignment horizontal="left" vertical="center" indent="1"/>
      <protection locked="0"/>
    </xf>
    <xf numFmtId="0" fontId="18" fillId="11" borderId="30" xfId="3" applyFont="1" applyFill="1" applyBorder="1" applyAlignment="1" applyProtection="1">
      <alignment horizontal="left" vertical="center" indent="1"/>
      <protection locked="0"/>
    </xf>
    <xf numFmtId="0" fontId="19" fillId="0" borderId="31" xfId="3" applyFont="1" applyBorder="1" applyAlignment="1" applyProtection="1">
      <alignment horizontal="center" vertical="center"/>
      <protection hidden="1"/>
    </xf>
    <xf numFmtId="0" fontId="19" fillId="0" borderId="32" xfId="3" applyFont="1" applyBorder="1" applyAlignment="1" applyProtection="1">
      <alignment horizontal="center" vertical="center"/>
      <protection hidden="1"/>
    </xf>
    <xf numFmtId="0" fontId="18" fillId="11" borderId="26" xfId="3" applyFont="1" applyFill="1" applyBorder="1" applyAlignment="1" applyProtection="1">
      <alignment horizontal="left" vertical="center" indent="1"/>
      <protection locked="0"/>
    </xf>
    <xf numFmtId="0" fontId="18" fillId="11" borderId="7" xfId="3" applyFont="1" applyFill="1" applyBorder="1" applyAlignment="1" applyProtection="1">
      <alignment horizontal="left" vertical="center" indent="1"/>
      <protection locked="0"/>
    </xf>
    <xf numFmtId="0" fontId="16" fillId="0" borderId="1" xfId="3" applyFont="1" applyBorder="1" applyAlignment="1" applyProtection="1">
      <alignment horizontal="center" vertical="center"/>
      <protection locked="0"/>
    </xf>
    <xf numFmtId="0" fontId="16" fillId="0" borderId="25" xfId="3" applyFont="1" applyBorder="1" applyAlignment="1" applyProtection="1">
      <alignment horizontal="center" vertical="center"/>
      <protection locked="0"/>
    </xf>
    <xf numFmtId="0" fontId="19" fillId="0" borderId="2" xfId="3" applyFont="1" applyBorder="1" applyAlignment="1" applyProtection="1">
      <alignment horizontal="center" vertical="center"/>
      <protection locked="0"/>
    </xf>
    <xf numFmtId="0" fontId="19" fillId="0" borderId="7" xfId="3" applyFont="1" applyBorder="1" applyAlignment="1" applyProtection="1">
      <alignment horizontal="center" vertical="center"/>
      <protection locked="0"/>
    </xf>
    <xf numFmtId="0" fontId="19" fillId="0" borderId="27" xfId="3" applyFont="1" applyBorder="1" applyAlignment="1" applyProtection="1">
      <alignment horizontal="center" vertical="center"/>
      <protection locked="0"/>
    </xf>
    <xf numFmtId="0" fontId="17" fillId="2" borderId="34" xfId="3" applyFont="1" applyFill="1" applyBorder="1" applyAlignment="1" applyProtection="1">
      <alignment horizontal="center" vertical="center" wrapText="1"/>
      <protection hidden="1"/>
    </xf>
    <xf numFmtId="0" fontId="17" fillId="2" borderId="35" xfId="3" applyFont="1" applyFill="1" applyBorder="1" applyAlignment="1" applyProtection="1">
      <alignment horizontal="center" vertical="center" wrapText="1"/>
      <protection hidden="1"/>
    </xf>
    <xf numFmtId="0" fontId="17" fillId="2" borderId="36" xfId="3" applyFont="1" applyFill="1" applyBorder="1" applyAlignment="1" applyProtection="1">
      <alignment horizontal="center" vertical="center" wrapText="1"/>
      <protection hidden="1"/>
    </xf>
    <xf numFmtId="164" fontId="16" fillId="0" borderId="1" xfId="3" applyNumberFormat="1" applyFont="1" applyBorder="1" applyAlignment="1" applyProtection="1">
      <alignment horizontal="center" vertical="center" wrapText="1"/>
      <protection hidden="1"/>
    </xf>
    <xf numFmtId="164" fontId="16" fillId="0" borderId="1" xfId="3" applyNumberFormat="1" applyFont="1" applyBorder="1" applyAlignment="1" applyProtection="1">
      <alignment horizontal="center" vertical="center"/>
      <protection hidden="1"/>
    </xf>
    <xf numFmtId="164" fontId="16" fillId="0" borderId="25" xfId="3" applyNumberFormat="1" applyFont="1" applyBorder="1" applyAlignment="1" applyProtection="1">
      <alignment horizontal="center" vertical="center"/>
      <protection hidden="1"/>
    </xf>
    <xf numFmtId="0" fontId="18" fillId="11" borderId="2" xfId="3" applyFont="1" applyFill="1" applyBorder="1" applyAlignment="1" applyProtection="1">
      <alignment horizontal="left" vertical="center"/>
      <protection locked="0"/>
    </xf>
    <xf numFmtId="0" fontId="18" fillId="11" borderId="7" xfId="3" applyFont="1" applyFill="1" applyBorder="1" applyAlignment="1" applyProtection="1">
      <alignment horizontal="left" vertical="center"/>
      <protection locked="0"/>
    </xf>
    <xf numFmtId="0" fontId="16" fillId="0" borderId="2" xfId="3" applyFont="1" applyBorder="1" applyAlignment="1" applyProtection="1">
      <alignment horizontal="center" vertical="center"/>
      <protection locked="0"/>
    </xf>
    <xf numFmtId="0" fontId="16" fillId="0" borderId="7" xfId="3" applyFont="1" applyBorder="1" applyAlignment="1" applyProtection="1">
      <alignment horizontal="center" vertical="center"/>
      <protection locked="0"/>
    </xf>
    <xf numFmtId="0" fontId="16" fillId="0" borderId="27" xfId="3" applyFont="1" applyBorder="1" applyAlignment="1" applyProtection="1">
      <alignment horizontal="center" vertical="center"/>
      <protection locked="0"/>
    </xf>
    <xf numFmtId="0" fontId="19" fillId="0" borderId="1" xfId="3" applyFont="1" applyBorder="1" applyAlignment="1" applyProtection="1">
      <alignment horizontal="center" vertical="center" wrapText="1"/>
      <protection hidden="1"/>
    </xf>
    <xf numFmtId="0" fontId="19" fillId="0" borderId="25" xfId="3" applyFont="1" applyBorder="1" applyAlignment="1" applyProtection="1">
      <alignment horizontal="center" vertical="center" wrapText="1"/>
      <protection hidden="1"/>
    </xf>
    <xf numFmtId="0" fontId="11" fillId="10" borderId="2" xfId="0" applyFont="1" applyFill="1" applyBorder="1" applyAlignment="1">
      <alignment horizontal="center" vertical="center"/>
    </xf>
    <xf numFmtId="0" fontId="11" fillId="10" borderId="7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11" fillId="10" borderId="7" xfId="0" applyFont="1" applyFill="1" applyBorder="1" applyAlignment="1">
      <alignment horizontal="center" vertical="center" wrapText="1"/>
    </xf>
    <xf numFmtId="0" fontId="11" fillId="10" borderId="3" xfId="0" applyFont="1" applyFill="1" applyBorder="1" applyAlignment="1">
      <alignment horizontal="center" vertical="center" wrapText="1"/>
    </xf>
    <xf numFmtId="0" fontId="26" fillId="0" borderId="11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7" fillId="0" borderId="11" xfId="0" applyFont="1" applyBorder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>
      <alignment horizontal="left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8" fillId="0" borderId="2" xfId="0" applyFont="1" applyBorder="1" applyAlignment="1" applyProtection="1">
      <alignment horizontal="center" vertical="center"/>
      <protection locked="0"/>
    </xf>
    <xf numFmtId="0" fontId="8" fillId="0" borderId="7" xfId="0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center" vertical="center"/>
      <protection locked="0"/>
    </xf>
    <xf numFmtId="0" fontId="24" fillId="10" borderId="2" xfId="0" applyFont="1" applyFill="1" applyBorder="1" applyAlignment="1">
      <alignment horizontal="center" vertical="center" wrapText="1"/>
    </xf>
    <xf numFmtId="0" fontId="24" fillId="10" borderId="7" xfId="0" applyFont="1" applyFill="1" applyBorder="1" applyAlignment="1">
      <alignment horizontal="center" vertical="center" wrapText="1"/>
    </xf>
    <xf numFmtId="0" fontId="24" fillId="10" borderId="3" xfId="0" applyFont="1" applyFill="1" applyBorder="1" applyAlignment="1">
      <alignment horizontal="center" vertical="center" wrapText="1"/>
    </xf>
    <xf numFmtId="0" fontId="24" fillId="10" borderId="9" xfId="0" applyFont="1" applyFill="1" applyBorder="1" applyAlignment="1">
      <alignment horizontal="center" vertical="center" wrapText="1"/>
    </xf>
    <xf numFmtId="0" fontId="24" fillId="10" borderId="6" xfId="0" applyFont="1" applyFill="1" applyBorder="1" applyAlignment="1">
      <alignment horizontal="center" vertical="center" wrapText="1"/>
    </xf>
    <xf numFmtId="0" fontId="24" fillId="10" borderId="10" xfId="0" applyFont="1" applyFill="1" applyBorder="1" applyAlignment="1">
      <alignment horizontal="center" vertical="center" wrapText="1"/>
    </xf>
    <xf numFmtId="0" fontId="24" fillId="10" borderId="13" xfId="0" applyFont="1" applyFill="1" applyBorder="1" applyAlignment="1">
      <alignment horizontal="center" vertical="center" wrapText="1"/>
    </xf>
    <xf numFmtId="0" fontId="24" fillId="10" borderId="14" xfId="0" applyFont="1" applyFill="1" applyBorder="1" applyAlignment="1">
      <alignment horizontal="center" vertical="center" wrapText="1"/>
    </xf>
    <xf numFmtId="0" fontId="24" fillId="10" borderId="15" xfId="0" applyFont="1" applyFill="1" applyBorder="1" applyAlignment="1">
      <alignment horizontal="center" vertical="center" wrapText="1"/>
    </xf>
    <xf numFmtId="0" fontId="24" fillId="10" borderId="11" xfId="0" applyFont="1" applyFill="1" applyBorder="1" applyAlignment="1">
      <alignment horizontal="center" vertical="center" wrapText="1"/>
    </xf>
    <xf numFmtId="0" fontId="24" fillId="10" borderId="0" xfId="0" applyFont="1" applyFill="1" applyAlignment="1">
      <alignment horizontal="center" vertical="center" wrapText="1"/>
    </xf>
    <xf numFmtId="0" fontId="24" fillId="10" borderId="12" xfId="0" applyFont="1" applyFill="1" applyBorder="1" applyAlignment="1">
      <alignment horizontal="center" vertical="center" wrapText="1"/>
    </xf>
    <xf numFmtId="0" fontId="23" fillId="12" borderId="0" xfId="0" applyFont="1" applyFill="1" applyAlignment="1" applyProtection="1">
      <alignment horizontal="center" vertical="center"/>
      <protection hidden="1"/>
    </xf>
    <xf numFmtId="0" fontId="22" fillId="12" borderId="0" xfId="0" applyFont="1" applyFill="1" applyAlignment="1" applyProtection="1">
      <alignment horizontal="center" vertical="center" wrapText="1"/>
      <protection hidden="1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3" borderId="2" xfId="0" applyFont="1" applyFill="1" applyBorder="1" applyAlignment="1" applyProtection="1">
      <alignment horizontal="left" vertical="center" wrapText="1"/>
      <protection locked="0"/>
    </xf>
    <xf numFmtId="0" fontId="3" fillId="3" borderId="7" xfId="0" applyFont="1" applyFill="1" applyBorder="1" applyAlignment="1" applyProtection="1">
      <alignment horizontal="left" vertical="center" wrapText="1"/>
      <protection locked="0"/>
    </xf>
    <xf numFmtId="0" fontId="3" fillId="3" borderId="3" xfId="0" applyFont="1" applyFill="1" applyBorder="1" applyAlignment="1" applyProtection="1">
      <alignment horizontal="left" vertical="center" wrapText="1"/>
      <protection locked="0"/>
    </xf>
    <xf numFmtId="0" fontId="7" fillId="7" borderId="1" xfId="0" applyFont="1" applyFill="1" applyBorder="1" applyAlignment="1" applyProtection="1">
      <alignment horizontal="justify" vertical="center"/>
      <protection locked="0"/>
    </xf>
    <xf numFmtId="0" fontId="7" fillId="5" borderId="1" xfId="0" applyFont="1" applyFill="1" applyBorder="1" applyAlignment="1" applyProtection="1">
      <alignment horizontal="justify" vertical="center"/>
      <protection locked="0"/>
    </xf>
    <xf numFmtId="0" fontId="3" fillId="0" borderId="2" xfId="0" applyFont="1" applyBorder="1" applyAlignment="1" applyProtection="1">
      <alignment horizontal="left" vertical="center" wrapText="1"/>
      <protection locked="0"/>
    </xf>
    <xf numFmtId="0" fontId="3" fillId="0" borderId="7" xfId="0" applyFont="1" applyBorder="1" applyAlignment="1" applyProtection="1">
      <alignment horizontal="left" vertical="center" wrapText="1"/>
      <protection locked="0"/>
    </xf>
    <xf numFmtId="0" fontId="3" fillId="0" borderId="3" xfId="0" applyFont="1" applyBorder="1" applyAlignment="1" applyProtection="1">
      <alignment horizontal="left" vertical="center" wrapText="1"/>
      <protection locked="0"/>
    </xf>
    <xf numFmtId="0" fontId="3" fillId="5" borderId="7" xfId="0" applyFont="1" applyFill="1" applyBorder="1" applyAlignment="1" applyProtection="1">
      <alignment horizontal="justify" vertical="center" wrapText="1"/>
      <protection locked="0"/>
    </xf>
    <xf numFmtId="0" fontId="3" fillId="5" borderId="3" xfId="0" applyFont="1" applyFill="1" applyBorder="1" applyAlignment="1" applyProtection="1">
      <alignment horizontal="justify" vertical="center" wrapText="1"/>
      <protection locked="0"/>
    </xf>
    <xf numFmtId="0" fontId="3" fillId="9" borderId="7" xfId="0" applyFont="1" applyFill="1" applyBorder="1" applyAlignment="1" applyProtection="1">
      <alignment horizontal="justify" vertical="center" wrapText="1"/>
      <protection locked="0"/>
    </xf>
    <xf numFmtId="0" fontId="3" fillId="9" borderId="3" xfId="0" applyFont="1" applyFill="1" applyBorder="1" applyAlignment="1" applyProtection="1">
      <alignment horizontal="justify" vertical="center" wrapText="1"/>
      <protection locked="0"/>
    </xf>
    <xf numFmtId="0" fontId="3" fillId="7" borderId="7" xfId="0" applyFont="1" applyFill="1" applyBorder="1" applyAlignment="1" applyProtection="1">
      <alignment horizontal="justify" vertical="center" wrapText="1"/>
      <protection locked="0"/>
    </xf>
    <xf numFmtId="0" fontId="3" fillId="7" borderId="3" xfId="0" applyFont="1" applyFill="1" applyBorder="1" applyAlignment="1" applyProtection="1">
      <alignment horizontal="justify" vertical="center" wrapText="1"/>
      <protection locked="0"/>
    </xf>
    <xf numFmtId="0" fontId="7" fillId="6" borderId="1" xfId="0" applyFont="1" applyFill="1" applyBorder="1" applyAlignment="1" applyProtection="1">
      <alignment horizontal="justify" vertical="center"/>
      <protection locked="0"/>
    </xf>
    <xf numFmtId="0" fontId="7" fillId="8" borderId="1" xfId="0" applyFont="1" applyFill="1" applyBorder="1" applyAlignment="1" applyProtection="1">
      <alignment horizontal="justify" vertical="center"/>
      <protection locked="0"/>
    </xf>
    <xf numFmtId="0" fontId="3" fillId="3" borderId="0" xfId="0" applyFont="1" applyFill="1" applyAlignment="1" applyProtection="1">
      <alignment horizontal="center" vertical="center"/>
      <protection locked="0"/>
    </xf>
    <xf numFmtId="0" fontId="3" fillId="3" borderId="12" xfId="0" applyFont="1" applyFill="1" applyBorder="1" applyAlignment="1" applyProtection="1">
      <alignment horizontal="center" vertical="center"/>
      <protection locked="0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3" fillId="3" borderId="4" xfId="0" applyFont="1" applyFill="1" applyBorder="1" applyAlignment="1" applyProtection="1">
      <alignment horizontal="center" vertical="center" wrapText="1"/>
      <protection locked="0"/>
    </xf>
    <xf numFmtId="0" fontId="3" fillId="3" borderId="8" xfId="0" applyFont="1" applyFill="1" applyBorder="1" applyAlignment="1" applyProtection="1">
      <alignment horizontal="center" vertical="center" wrapText="1"/>
      <protection locked="0"/>
    </xf>
    <xf numFmtId="0" fontId="3" fillId="3" borderId="5" xfId="0" applyFont="1" applyFill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justify" vertical="center" wrapText="1"/>
      <protection locked="0"/>
    </xf>
    <xf numFmtId="0" fontId="3" fillId="0" borderId="3" xfId="0" applyFont="1" applyBorder="1" applyAlignment="1" applyProtection="1">
      <alignment horizontal="justify" vertical="center" wrapText="1"/>
      <protection locked="0"/>
    </xf>
    <xf numFmtId="0" fontId="7" fillId="13" borderId="1" xfId="0" applyFont="1" applyFill="1" applyBorder="1" applyAlignment="1" applyProtection="1">
      <alignment horizontal="justify" vertical="center"/>
      <protection locked="0"/>
    </xf>
    <xf numFmtId="0" fontId="3" fillId="3" borderId="10" xfId="0" applyFont="1" applyFill="1" applyBorder="1" applyAlignment="1" applyProtection="1">
      <alignment horizontal="center" vertical="center"/>
      <protection locked="0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2" fillId="4" borderId="2" xfId="0" applyFont="1" applyFill="1" applyBorder="1" applyAlignment="1" applyProtection="1">
      <alignment horizontal="center" vertical="center"/>
      <protection locked="0"/>
    </xf>
    <xf numFmtId="0" fontId="2" fillId="4" borderId="7" xfId="0" applyFont="1" applyFill="1" applyBorder="1" applyAlignment="1" applyProtection="1">
      <alignment horizontal="center" vertical="center"/>
      <protection locked="0"/>
    </xf>
    <xf numFmtId="0" fontId="2" fillId="4" borderId="3" xfId="0" applyFont="1" applyFill="1" applyBorder="1" applyAlignment="1" applyProtection="1">
      <alignment horizontal="center" vertical="center"/>
      <protection locked="0"/>
    </xf>
  </cellXfs>
  <cellStyles count="4">
    <cellStyle name="Normal" xfId="0" builtinId="0"/>
    <cellStyle name="Normal 2" xfId="1" xr:uid="{00000000-0005-0000-0000-000001000000}"/>
    <cellStyle name="Normal 5 2" xfId="3" xr:uid="{00000000-0005-0000-0000-000002000000}"/>
    <cellStyle name="Normal_Formato matriz de seguimiento" xfId="2" xr:uid="{00000000-0005-0000-0000-000003000000}"/>
  </cellStyles>
  <dxfs count="58">
    <dxf>
      <font>
        <color theme="0"/>
      </font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E5E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92D05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justify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justify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justify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justify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justify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justify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justify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justify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fill>
        <patternFill patternType="solid">
          <fgColor indexed="64"/>
          <bgColor rgb="FF0033A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934BC9"/>
      <color rgb="FF9E5ECE"/>
      <color rgb="FFF5F9FD"/>
      <color rgb="FFE7F1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012388451443571"/>
          <c:y val="0.10120962416010158"/>
          <c:w val="0.54980157480314962"/>
          <c:h val="0.89879038470277506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F84-4BAD-BB82-EA1392CB247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F84-4BAD-BB82-EA1392CB2474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F84-4BAD-BB82-EA1392CB2474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F84-4BAD-BB82-EA1392CB2474}"/>
              </c:ext>
            </c:extLst>
          </c:dPt>
          <c:dPt>
            <c:idx val="4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F84-4BAD-BB82-EA1392CB2474}"/>
              </c:ext>
            </c:extLst>
          </c:dPt>
          <c:val>
            <c:numRef>
              <c:f>'Metodología y Marco Teórico'!$BO$7:$BS$7</c:f>
              <c:numCache>
                <c:formatCode>General</c:formatCode>
                <c:ptCount val="5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F84-4BAD-BB82-EA1392CB2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5"/>
      </c:doughnutChart>
      <c:pieChart>
        <c:varyColors val="1"/>
        <c:ser>
          <c:idx val="1"/>
          <c:order val="1"/>
          <c:tx>
            <c:v>AGUJA</c:v>
          </c:tx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2F84-4BAD-BB82-EA1392CB2474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2F84-4BAD-BB82-EA1392CB2474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2F84-4BAD-BB82-EA1392CB2474}"/>
              </c:ext>
            </c:extLst>
          </c:dPt>
          <c:val>
            <c:numRef>
              <c:f>'Metodología y Marco Teórico'!$BK$7:$BM$7</c:f>
              <c:numCache>
                <c:formatCode>General</c:formatCode>
                <c:ptCount val="3"/>
                <c:pt idx="0">
                  <c:v>60</c:v>
                </c:pt>
                <c:pt idx="1">
                  <c:v>2</c:v>
                </c:pt>
                <c:pt idx="2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F84-4BAD-BB82-EA1392CB2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[Matriz Mejoras 2025 UV.xlsx]Metodología y Marco Teórico!TablaDinámica4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NUMERO DE HALLAZGOS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ysClr val="window" lastClr="FFFFFF"/>
          </a:solidFill>
          <a:ln w="3810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6157661261189104"/>
          <c:y val="0.26954624350979517"/>
          <c:w val="0.50802138455552137"/>
          <c:h val="0.69548274872789795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'Metodología y Marco Teórico'!$AB$5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ysClr val="window" lastClr="FFFFFF"/>
            </a:solidFill>
            <a:ln w="38100"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'Metodología y Marco Teórico'!$AA$6:$AA$8</c:f>
              <c:strCache>
                <c:ptCount val="3"/>
                <c:pt idx="0">
                  <c:v>ABIERTO</c:v>
                </c:pt>
                <c:pt idx="1">
                  <c:v>CERRADO</c:v>
                </c:pt>
                <c:pt idx="2">
                  <c:v>EN PROCESO</c:v>
                </c:pt>
              </c:strCache>
            </c:strRef>
          </c:cat>
          <c:val>
            <c:numRef>
              <c:f>'Metodología y Marco Teórico'!$AB$6:$AB$8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C3-49E2-ACA5-465393380A1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100"/>
        <c:axId val="1765105840"/>
        <c:axId val="1765097680"/>
      </c:barChart>
      <c:catAx>
        <c:axId val="1765105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1765097680"/>
        <c:crosses val="autoZero"/>
        <c:auto val="1"/>
        <c:lblAlgn val="ctr"/>
        <c:lblOffset val="100"/>
        <c:noMultiLvlLbl val="0"/>
      </c:catAx>
      <c:valAx>
        <c:axId val="1765097680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76510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600">
          <a:latin typeface="Arial" panose="020B0604020202020204" pitchFamily="34" charset="0"/>
          <a:cs typeface="Arial" panose="020B0604020202020204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[Matriz Mejoras 2025 UV.xlsx]Metodología y Marco Teórico!TablaDinámica10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CO"/>
              <a:t>PORCENTAJE DE CIERRE</a:t>
            </a:r>
            <a:r>
              <a:rPr lang="es-CO" baseline="0"/>
              <a:t> 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934BC9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'Metodología y Marco Teórico'!$AK$6:$AK$7</c:f>
              <c:strCache>
                <c:ptCount val="1"/>
                <c:pt idx="0">
                  <c:v>ABIERTO</c:v>
                </c:pt>
              </c:strCache>
            </c:strRef>
          </c:tx>
          <c:spPr>
            <a:solidFill>
              <a:srgbClr val="FF0000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'Metodología y Marco Teórico'!$AJ$8:$AJ$10</c:f>
              <c:strCache>
                <c:ptCount val="3"/>
                <c:pt idx="0">
                  <c:v>Fuente</c:v>
                </c:pt>
                <c:pt idx="1">
                  <c:v>Medio</c:v>
                </c:pt>
                <c:pt idx="2">
                  <c:v>Trabajador</c:v>
                </c:pt>
              </c:strCache>
            </c:strRef>
          </c:cat>
          <c:val>
            <c:numRef>
              <c:f>'Metodología y Marco Teórico'!$AK$8:$AK$10</c:f>
              <c:numCache>
                <c:formatCode>0.00%</c:formatCode>
                <c:ptCount val="3"/>
                <c:pt idx="0">
                  <c:v>0.5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C52-476A-B268-4EEC02375CDA}"/>
            </c:ext>
          </c:extLst>
        </c:ser>
        <c:ser>
          <c:idx val="1"/>
          <c:order val="1"/>
          <c:tx>
            <c:strRef>
              <c:f>'Metodología y Marco Teórico'!$AL$6:$AL$7</c:f>
              <c:strCache>
                <c:ptCount val="1"/>
                <c:pt idx="0">
                  <c:v>CERRADO</c:v>
                </c:pt>
              </c:strCache>
            </c:strRef>
          </c:tx>
          <c:spPr>
            <a:solidFill>
              <a:srgbClr val="00B050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'Metodología y Marco Teórico'!$AJ$8:$AJ$10</c:f>
              <c:strCache>
                <c:ptCount val="3"/>
                <c:pt idx="0">
                  <c:v>Fuente</c:v>
                </c:pt>
                <c:pt idx="1">
                  <c:v>Medio</c:v>
                </c:pt>
                <c:pt idx="2">
                  <c:v>Trabajador</c:v>
                </c:pt>
              </c:strCache>
            </c:strRef>
          </c:cat>
          <c:val>
            <c:numRef>
              <c:f>'Metodología y Marco Teórico'!$AL$8:$AL$10</c:f>
              <c:numCache>
                <c:formatCode>0.00%</c:formatCode>
                <c:ptCount val="3"/>
                <c:pt idx="0">
                  <c:v>0.5</c:v>
                </c:pt>
                <c:pt idx="1">
                  <c:v>0.5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5D-4054-A81E-14AC86329118}"/>
            </c:ext>
          </c:extLst>
        </c:ser>
        <c:ser>
          <c:idx val="2"/>
          <c:order val="2"/>
          <c:tx>
            <c:strRef>
              <c:f>'Metodología y Marco Teórico'!$AM$6:$AM$7</c:f>
              <c:strCache>
                <c:ptCount val="1"/>
                <c:pt idx="0">
                  <c:v>EN PROCESO</c:v>
                </c:pt>
              </c:strCache>
            </c:strRef>
          </c:tx>
          <c:spPr>
            <a:solidFill>
              <a:srgbClr val="FFFF00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'Metodología y Marco Teórico'!$AJ$8:$AJ$10</c:f>
              <c:strCache>
                <c:ptCount val="3"/>
                <c:pt idx="0">
                  <c:v>Fuente</c:v>
                </c:pt>
                <c:pt idx="1">
                  <c:v>Medio</c:v>
                </c:pt>
                <c:pt idx="2">
                  <c:v>Trabajador</c:v>
                </c:pt>
              </c:strCache>
            </c:strRef>
          </c:cat>
          <c:val>
            <c:numRef>
              <c:f>'Metodología y Marco Teórico'!$AM$8:$AM$10</c:f>
              <c:numCache>
                <c:formatCode>0.00%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7-492F-860E-27C40E2B1F9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100"/>
        <c:axId val="1765138960"/>
        <c:axId val="1765135600"/>
      </c:barChart>
      <c:catAx>
        <c:axId val="176513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1765135600"/>
        <c:crosses val="autoZero"/>
        <c:auto val="1"/>
        <c:lblAlgn val="ctr"/>
        <c:lblOffset val="100"/>
        <c:noMultiLvlLbl val="0"/>
      </c:catAx>
      <c:valAx>
        <c:axId val="176513560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76513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600">
          <a:latin typeface="Arial" panose="020B0604020202020204" pitchFamily="34" charset="0"/>
          <a:cs typeface="Arial" panose="020B0604020202020204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[Matriz Mejoras 2025 UV.xlsx]Metodología y Marco Teórico!TablaDinámica9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CANTIDAD DE HALLAZGOS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ysClr val="window" lastClr="FFFFFF"/>
          </a:solidFill>
          <a:ln w="38100"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1277909610613744"/>
          <c:y val="0.35344262295081957"/>
          <c:w val="0.46965946780768159"/>
          <c:h val="0.6014754098360656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'Metodología y Marco Teórico'!$AH$6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ysClr val="window" lastClr="FFFFFF"/>
            </a:solidFill>
            <a:ln w="38100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'Metodología y Marco Teórico'!$AG$7:$AG$9</c:f>
              <c:strCache>
                <c:ptCount val="3"/>
                <c:pt idx="0">
                  <c:v>Fuente</c:v>
                </c:pt>
                <c:pt idx="1">
                  <c:v>Medio</c:v>
                </c:pt>
                <c:pt idx="2">
                  <c:v>Trabajador</c:v>
                </c:pt>
              </c:strCache>
            </c:strRef>
          </c:cat>
          <c:val>
            <c:numRef>
              <c:f>'Metodología y Marco Teórico'!$AH$7:$AH$9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3B-4714-B14C-AC1AB53E0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554067295"/>
        <c:axId val="1551561471"/>
      </c:barChart>
      <c:catAx>
        <c:axId val="15540672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1551561471"/>
        <c:crosses val="autoZero"/>
        <c:auto val="1"/>
        <c:lblAlgn val="ctr"/>
        <c:lblOffset val="100"/>
        <c:noMultiLvlLbl val="0"/>
      </c:catAx>
      <c:valAx>
        <c:axId val="1551561471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554067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600">
          <a:latin typeface="Arial" panose="020B0604020202020204" pitchFamily="34" charset="0"/>
          <a:cs typeface="Arial" panose="020B0604020202020204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[Matriz Mejoras 2025 UV.xlsx]Metodología y Marco Teórico!TablaDinámica7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CO"/>
              <a:t>PORCENTAJE DE CIERRE POR RIESGO</a:t>
            </a:r>
            <a:r>
              <a:rPr lang="es-CO" baseline="0"/>
              <a:t> IDENTIFICADO</a:t>
            </a:r>
            <a:endParaRPr lang="es-CO"/>
          </a:p>
        </c:rich>
      </c:tx>
      <c:layout>
        <c:manualLayout>
          <c:xMode val="edge"/>
          <c:yMode val="edge"/>
          <c:x val="0.22165224795050339"/>
          <c:y val="1.28342245989304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9E5EC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211965112631705"/>
          <c:y val="8.5732620320855615E-2"/>
          <c:w val="0.53650022498186889"/>
          <c:h val="0.88645989304812833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'Metodología y Marco Teórico'!$BB$6:$BB$7</c:f>
              <c:strCache>
                <c:ptCount val="1"/>
                <c:pt idx="0">
                  <c:v>ABIERTO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'Metodología y Marco Teórico'!$BA$8:$BA$10</c:f>
              <c:strCache>
                <c:ptCount val="3"/>
                <c:pt idx="0">
                  <c:v>Biológico</c:v>
                </c:pt>
                <c:pt idx="1">
                  <c:v>Biomecánico</c:v>
                </c:pt>
                <c:pt idx="2">
                  <c:v>Trabajo en alturas</c:v>
                </c:pt>
              </c:strCache>
            </c:strRef>
          </c:cat>
          <c:val>
            <c:numRef>
              <c:f>'Metodología y Marco Teórico'!$BB$8:$BB$10</c:f>
              <c:numCache>
                <c:formatCode>0.00%</c:formatCode>
                <c:ptCount val="3"/>
                <c:pt idx="0">
                  <c:v>0.5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E6E-4653-A1B2-F73A328A62E3}"/>
            </c:ext>
          </c:extLst>
        </c:ser>
        <c:ser>
          <c:idx val="1"/>
          <c:order val="1"/>
          <c:tx>
            <c:strRef>
              <c:f>'Metodología y Marco Teórico'!$BC$6:$BC$7</c:f>
              <c:strCache>
                <c:ptCount val="1"/>
                <c:pt idx="0">
                  <c:v>CERRADO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'Metodología y Marco Teórico'!$BA$8:$BA$10</c:f>
              <c:strCache>
                <c:ptCount val="3"/>
                <c:pt idx="0">
                  <c:v>Biológico</c:v>
                </c:pt>
                <c:pt idx="1">
                  <c:v>Biomecánico</c:v>
                </c:pt>
                <c:pt idx="2">
                  <c:v>Trabajo en alturas</c:v>
                </c:pt>
              </c:strCache>
            </c:strRef>
          </c:cat>
          <c:val>
            <c:numRef>
              <c:f>'Metodología y Marco Teórico'!$BC$8:$BC$10</c:f>
              <c:numCache>
                <c:formatCode>0.00%</c:formatCode>
                <c:ptCount val="3"/>
                <c:pt idx="0">
                  <c:v>0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F2-4501-919B-867B84B5C34D}"/>
            </c:ext>
          </c:extLst>
        </c:ser>
        <c:ser>
          <c:idx val="2"/>
          <c:order val="2"/>
          <c:tx>
            <c:strRef>
              <c:f>'Metodología y Marco Teórico'!$BD$6:$BD$7</c:f>
              <c:strCache>
                <c:ptCount val="1"/>
                <c:pt idx="0">
                  <c:v>EN PROCESO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'Metodología y Marco Teórico'!$BA$8:$BA$10</c:f>
              <c:strCache>
                <c:ptCount val="3"/>
                <c:pt idx="0">
                  <c:v>Biológico</c:v>
                </c:pt>
                <c:pt idx="1">
                  <c:v>Biomecánico</c:v>
                </c:pt>
                <c:pt idx="2">
                  <c:v>Trabajo en alturas</c:v>
                </c:pt>
              </c:strCache>
            </c:strRef>
          </c:cat>
          <c:val>
            <c:numRef>
              <c:f>'Metodología y Marco Teórico'!$BD$8:$BD$10</c:f>
              <c:numCache>
                <c:formatCode>0.00%</c:formatCode>
                <c:ptCount val="3"/>
                <c:pt idx="0">
                  <c:v>0.5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C5-4951-9F87-AC906B9634E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100"/>
        <c:axId val="1551555711"/>
        <c:axId val="1551582591"/>
      </c:barChart>
      <c:catAx>
        <c:axId val="1551555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1551582591"/>
        <c:crosses val="autoZero"/>
        <c:auto val="1"/>
        <c:lblAlgn val="ctr"/>
        <c:lblOffset val="100"/>
        <c:noMultiLvlLbl val="0"/>
      </c:catAx>
      <c:valAx>
        <c:axId val="1551582591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551555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Arial" panose="020B0604020202020204" pitchFamily="34" charset="0"/>
          <a:cs typeface="Arial" panose="020B0604020202020204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[Matriz Mejoras 2025 UV.xlsx]Metodología y Marco Teórico!TablaDinámica5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800"/>
              <a:t>CANTIDAD DE</a:t>
            </a:r>
            <a:r>
              <a:rPr lang="en-US" sz="1800" baseline="0"/>
              <a:t> PELIGROS</a:t>
            </a:r>
            <a:endParaRPr lang="en-US" sz="1800"/>
          </a:p>
        </c:rich>
      </c:tx>
      <c:layout>
        <c:manualLayout>
          <c:xMode val="edge"/>
          <c:yMode val="edge"/>
          <c:x val="9.8464459830984272E-2"/>
          <c:y val="1.57598214661669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/>
          </a:solidFill>
          <a:ln w="38100"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50879330551300905"/>
          <c:y val="8.7058823529411758E-2"/>
          <c:w val="0.4809794235899385"/>
          <c:h val="0.88941176470588235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'Metodología y Marco Teórico'!$AV$6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 w="38100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'Metodología y Marco Teórico'!$AU$7:$AU$9</c:f>
              <c:strCache>
                <c:ptCount val="3"/>
                <c:pt idx="0">
                  <c:v>Biológico</c:v>
                </c:pt>
                <c:pt idx="1">
                  <c:v>Biomecánico</c:v>
                </c:pt>
                <c:pt idx="2">
                  <c:v>Trabajo en alturas</c:v>
                </c:pt>
              </c:strCache>
            </c:strRef>
          </c:cat>
          <c:val>
            <c:numRef>
              <c:f>'Metodología y Marco Teórico'!$AV$7:$AV$9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52-4DD4-9D84-2AD9C362F6E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100"/>
        <c:axId val="481811855"/>
        <c:axId val="481821935"/>
      </c:barChart>
      <c:catAx>
        <c:axId val="481811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481821935"/>
        <c:crosses val="autoZero"/>
        <c:auto val="1"/>
        <c:lblAlgn val="ctr"/>
        <c:lblOffset val="100"/>
        <c:noMultiLvlLbl val="0"/>
      </c:catAx>
      <c:valAx>
        <c:axId val="481821935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481811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Arial" panose="020B0604020202020204" pitchFamily="34" charset="0"/>
          <a:cs typeface="Arial" panose="020B0604020202020204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[Matriz Mejoras 2025 UV.xlsx]Metodología y Marco Teórico!TablaDinámica4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'Metodología y Marco Teórico'!$AB$5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'Metodología y Marco Teórico'!$AA$6:$AA$8</c:f>
              <c:strCache>
                <c:ptCount val="3"/>
                <c:pt idx="0">
                  <c:v>ABIERTO</c:v>
                </c:pt>
                <c:pt idx="1">
                  <c:v>CERRADO</c:v>
                </c:pt>
                <c:pt idx="2">
                  <c:v>EN PROCESO</c:v>
                </c:pt>
              </c:strCache>
            </c:strRef>
          </c:cat>
          <c:val>
            <c:numRef>
              <c:f>'Metodología y Marco Teórico'!$AB$6:$AB$8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D4-4287-8E30-14BB29762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65105840"/>
        <c:axId val="1765097680"/>
      </c:barChart>
      <c:catAx>
        <c:axId val="1765105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65097680"/>
        <c:crosses val="autoZero"/>
        <c:auto val="1"/>
        <c:lblAlgn val="ctr"/>
        <c:lblOffset val="100"/>
        <c:noMultiLvlLbl val="0"/>
      </c:catAx>
      <c:valAx>
        <c:axId val="1765097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6510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[Matriz Mejoras 2025 UV.xlsx]Metodología y Marco Teórico!TablaDinámica4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'Metodología y Marco Teórico'!$AB$5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30D-430E-B9D8-053889B2DAA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0D-430E-B9D8-053889B2DAA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30D-430E-B9D8-053889B2DAA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30D-430E-B9D8-053889B2DAA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30D-430E-B9D8-053889B2DAA0}"/>
              </c:ext>
            </c:extLst>
          </c:dPt>
          <c:cat>
            <c:strRef>
              <c:f>'Metodología y Marco Teórico'!$AA$6:$AA$8</c:f>
              <c:strCache>
                <c:ptCount val="3"/>
                <c:pt idx="0">
                  <c:v>ABIERTO</c:v>
                </c:pt>
                <c:pt idx="1">
                  <c:v>CERRADO</c:v>
                </c:pt>
                <c:pt idx="2">
                  <c:v>EN PROCESO</c:v>
                </c:pt>
              </c:strCache>
            </c:strRef>
          </c:cat>
          <c:val>
            <c:numRef>
              <c:f>'Metodología y Marco Teórico'!$AB$6:$AB$8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E8-4BCA-BF89-1632D7C8A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[Matriz Mejoras 2025 UV.xlsx]Metodología y Marco Teórico!TablaDinámica5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'Metodología y Marco Teórico'!$AV$6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'Metodología y Marco Teórico'!$AU$7:$AU$9</c:f>
              <c:strCache>
                <c:ptCount val="3"/>
                <c:pt idx="0">
                  <c:v>Biológico</c:v>
                </c:pt>
                <c:pt idx="1">
                  <c:v>Biomecánico</c:v>
                </c:pt>
                <c:pt idx="2">
                  <c:v>Trabajo en alturas</c:v>
                </c:pt>
              </c:strCache>
            </c:strRef>
          </c:cat>
          <c:val>
            <c:numRef>
              <c:f>'Metodología y Marco Teórico'!$AV$7:$AV$9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5EF-4BE8-AB96-C879480FE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481811855"/>
        <c:axId val="481821935"/>
      </c:barChart>
      <c:catAx>
        <c:axId val="481811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81821935"/>
        <c:crosses val="autoZero"/>
        <c:auto val="1"/>
        <c:lblAlgn val="ctr"/>
        <c:lblOffset val="100"/>
        <c:noMultiLvlLbl val="0"/>
      </c:catAx>
      <c:valAx>
        <c:axId val="481821935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481811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[Matriz Mejoras 2025 UV.xlsx]Metodología y Marco Teórico!TablaDinámica7</c:name>
    <c:fmtId val="1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'Metodología y Marco Teórico'!$BB$6:$BB$7</c:f>
              <c:strCache>
                <c:ptCount val="1"/>
                <c:pt idx="0">
                  <c:v>ABIERTO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'Metodología y Marco Teórico'!$BA$8:$BA$10</c:f>
              <c:strCache>
                <c:ptCount val="3"/>
                <c:pt idx="0">
                  <c:v>Biológico</c:v>
                </c:pt>
                <c:pt idx="1">
                  <c:v>Biomecánico</c:v>
                </c:pt>
                <c:pt idx="2">
                  <c:v>Trabajo en alturas</c:v>
                </c:pt>
              </c:strCache>
            </c:strRef>
          </c:cat>
          <c:val>
            <c:numRef>
              <c:f>'Metodología y Marco Teórico'!$BB$8:$BB$10</c:f>
              <c:numCache>
                <c:formatCode>0.00%</c:formatCode>
                <c:ptCount val="3"/>
                <c:pt idx="0">
                  <c:v>0.5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34-4A8A-9C1D-F1C1216376DE}"/>
            </c:ext>
          </c:extLst>
        </c:ser>
        <c:ser>
          <c:idx val="1"/>
          <c:order val="1"/>
          <c:tx>
            <c:strRef>
              <c:f>'Metodología y Marco Teórico'!$BC$6:$BC$7</c:f>
              <c:strCache>
                <c:ptCount val="1"/>
                <c:pt idx="0">
                  <c:v>CERRADO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'Metodología y Marco Teórico'!$BA$8:$BA$10</c:f>
              <c:strCache>
                <c:ptCount val="3"/>
                <c:pt idx="0">
                  <c:v>Biológico</c:v>
                </c:pt>
                <c:pt idx="1">
                  <c:v>Biomecánico</c:v>
                </c:pt>
                <c:pt idx="2">
                  <c:v>Trabajo en alturas</c:v>
                </c:pt>
              </c:strCache>
            </c:strRef>
          </c:cat>
          <c:val>
            <c:numRef>
              <c:f>'Metodología y Marco Teórico'!$BC$8:$BC$10</c:f>
              <c:numCache>
                <c:formatCode>0.00%</c:formatCode>
                <c:ptCount val="3"/>
                <c:pt idx="0">
                  <c:v>0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CE-4027-ADF9-58A447680CC8}"/>
            </c:ext>
          </c:extLst>
        </c:ser>
        <c:ser>
          <c:idx val="2"/>
          <c:order val="2"/>
          <c:tx>
            <c:strRef>
              <c:f>'Metodología y Marco Teórico'!$BD$6:$BD$7</c:f>
              <c:strCache>
                <c:ptCount val="1"/>
                <c:pt idx="0">
                  <c:v>EN PROCESO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'Metodología y Marco Teórico'!$BA$8:$BA$10</c:f>
              <c:strCache>
                <c:ptCount val="3"/>
                <c:pt idx="0">
                  <c:v>Biológico</c:v>
                </c:pt>
                <c:pt idx="1">
                  <c:v>Biomecánico</c:v>
                </c:pt>
                <c:pt idx="2">
                  <c:v>Trabajo en alturas</c:v>
                </c:pt>
              </c:strCache>
            </c:strRef>
          </c:cat>
          <c:val>
            <c:numRef>
              <c:f>'Metodología y Marco Teórico'!$BD$8:$BD$10</c:f>
              <c:numCache>
                <c:formatCode>0.00%</c:formatCode>
                <c:ptCount val="3"/>
                <c:pt idx="0">
                  <c:v>0.5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6C-455B-9C37-7C1CB80B0AD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100"/>
        <c:axId val="1551555711"/>
        <c:axId val="1551582591"/>
      </c:barChart>
      <c:catAx>
        <c:axId val="1551555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51582591"/>
        <c:crosses val="autoZero"/>
        <c:auto val="1"/>
        <c:lblAlgn val="ctr"/>
        <c:lblOffset val="100"/>
        <c:noMultiLvlLbl val="0"/>
      </c:catAx>
      <c:valAx>
        <c:axId val="1551582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51555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[Matriz Mejoras 2025 UV.xlsx]Metodología y Marco Teórico!TablaDinámica10</c:name>
    <c:fmtId val="16"/>
  </c:pivotSource>
  <c:chart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'Metodología y Marco Teórico'!$AK$6:$AK$7</c:f>
              <c:strCache>
                <c:ptCount val="1"/>
                <c:pt idx="0">
                  <c:v>ABIERTO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'Metodología y Marco Teórico'!$AJ$8:$AJ$10</c:f>
              <c:strCache>
                <c:ptCount val="3"/>
                <c:pt idx="0">
                  <c:v>Fuente</c:v>
                </c:pt>
                <c:pt idx="1">
                  <c:v>Medio</c:v>
                </c:pt>
                <c:pt idx="2">
                  <c:v>Trabajador</c:v>
                </c:pt>
              </c:strCache>
            </c:strRef>
          </c:cat>
          <c:val>
            <c:numRef>
              <c:f>'Metodología y Marco Teórico'!$AK$8:$AK$10</c:f>
              <c:numCache>
                <c:formatCode>0.00%</c:formatCode>
                <c:ptCount val="3"/>
                <c:pt idx="0">
                  <c:v>0.5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A71-41C9-A00D-5AF92A1F598E}"/>
            </c:ext>
          </c:extLst>
        </c:ser>
        <c:ser>
          <c:idx val="1"/>
          <c:order val="1"/>
          <c:tx>
            <c:strRef>
              <c:f>'Metodología y Marco Teórico'!$AL$6:$AL$7</c:f>
              <c:strCache>
                <c:ptCount val="1"/>
                <c:pt idx="0">
                  <c:v>CERRADO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'Metodología y Marco Teórico'!$AJ$8:$AJ$10</c:f>
              <c:strCache>
                <c:ptCount val="3"/>
                <c:pt idx="0">
                  <c:v>Fuente</c:v>
                </c:pt>
                <c:pt idx="1">
                  <c:v>Medio</c:v>
                </c:pt>
                <c:pt idx="2">
                  <c:v>Trabajador</c:v>
                </c:pt>
              </c:strCache>
            </c:strRef>
          </c:cat>
          <c:val>
            <c:numRef>
              <c:f>'Metodología y Marco Teórico'!$AL$8:$AL$10</c:f>
              <c:numCache>
                <c:formatCode>0.00%</c:formatCode>
                <c:ptCount val="3"/>
                <c:pt idx="0">
                  <c:v>0.5</c:v>
                </c:pt>
                <c:pt idx="1">
                  <c:v>0.5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F6-4D76-A21A-E038E4F218A2}"/>
            </c:ext>
          </c:extLst>
        </c:ser>
        <c:ser>
          <c:idx val="2"/>
          <c:order val="2"/>
          <c:tx>
            <c:strRef>
              <c:f>'Metodología y Marco Teórico'!$AM$6:$AM$7</c:f>
              <c:strCache>
                <c:ptCount val="1"/>
                <c:pt idx="0">
                  <c:v>EN PROCESO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'Metodología y Marco Teórico'!$AJ$8:$AJ$10</c:f>
              <c:strCache>
                <c:ptCount val="3"/>
                <c:pt idx="0">
                  <c:v>Fuente</c:v>
                </c:pt>
                <c:pt idx="1">
                  <c:v>Medio</c:v>
                </c:pt>
                <c:pt idx="2">
                  <c:v>Trabajador</c:v>
                </c:pt>
              </c:strCache>
            </c:strRef>
          </c:cat>
          <c:val>
            <c:numRef>
              <c:f>'Metodología y Marco Teórico'!$AM$8:$AM$10</c:f>
              <c:numCache>
                <c:formatCode>0.00%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CE-45B6-B9D2-EA3285C7A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65138960"/>
        <c:axId val="1765135600"/>
      </c:barChart>
      <c:catAx>
        <c:axId val="1765138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65135600"/>
        <c:crosses val="autoZero"/>
        <c:auto val="1"/>
        <c:lblAlgn val="ctr"/>
        <c:lblOffset val="100"/>
        <c:noMultiLvlLbl val="0"/>
      </c:catAx>
      <c:valAx>
        <c:axId val="176513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6513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[Matriz Mejoras 2025 UV.xlsx]Metodología y Marco Teórico!TablaDinámica9</c:name>
    <c:fmtId val="1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'Metodología y Marco Teórico'!$AH$6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'Metodología y Marco Teórico'!$AG$7:$AG$9</c:f>
              <c:strCache>
                <c:ptCount val="3"/>
                <c:pt idx="0">
                  <c:v>Fuente</c:v>
                </c:pt>
                <c:pt idx="1">
                  <c:v>Medio</c:v>
                </c:pt>
                <c:pt idx="2">
                  <c:v>Trabajador</c:v>
                </c:pt>
              </c:strCache>
            </c:strRef>
          </c:cat>
          <c:val>
            <c:numRef>
              <c:f>'Metodología y Marco Teórico'!$AH$7:$AH$9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5B-4C50-9777-C180596DB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554067295"/>
        <c:axId val="1551561471"/>
      </c:barChart>
      <c:catAx>
        <c:axId val="15540672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51561471"/>
        <c:crosses val="autoZero"/>
        <c:auto val="1"/>
        <c:lblAlgn val="ctr"/>
        <c:lblOffset val="100"/>
        <c:noMultiLvlLbl val="0"/>
      </c:catAx>
      <c:valAx>
        <c:axId val="1551561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54067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[Matriz Mejoras 2025 UV.xlsx]Metodología y Marco Teórico!TablaDinámica11</c:name>
    <c:fmtId val="18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'Metodología y Marco Teórico'!$AA$17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DCF-49D6-9F91-B735A5D42D8A}"/>
              </c:ext>
            </c:extLst>
          </c:dPt>
          <c:cat>
            <c:strRef>
              <c:f>'Metodología y Marco Teórico'!$AA$18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'Metodología y Marco Teórico'!$AA$18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B8-4F72-971B-8B3196D5C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image" Target="../media/image2.png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83045</xdr:colOff>
      <xdr:row>0</xdr:row>
      <xdr:rowOff>0</xdr:rowOff>
    </xdr:from>
    <xdr:to>
      <xdr:col>23</xdr:col>
      <xdr:colOff>183030</xdr:colOff>
      <xdr:row>3</xdr:row>
      <xdr:rowOff>62906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C4FF5E-6B76-480F-86A0-3D720A0A5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308438" y="0"/>
          <a:ext cx="1291277" cy="7432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0</xdr:row>
      <xdr:rowOff>132463</xdr:rowOff>
    </xdr:from>
    <xdr:to>
      <xdr:col>3</xdr:col>
      <xdr:colOff>409575</xdr:colOff>
      <xdr:row>0</xdr:row>
      <xdr:rowOff>751538</xdr:rowOff>
    </xdr:to>
    <xdr:pic>
      <xdr:nvPicPr>
        <xdr:cNvPr id="2" name="Imagen 1" descr="789b4dbe-f0f5-4f43-96bb-c983c10e1e1b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34"/>
        <a:stretch/>
      </xdr:blipFill>
      <xdr:spPr bwMode="auto">
        <a:xfrm>
          <a:off x="12039600" y="132463"/>
          <a:ext cx="1419225" cy="6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568200</xdr:colOff>
      <xdr:row>570</xdr:row>
      <xdr:rowOff>2182650</xdr:rowOff>
    </xdr:from>
    <xdr:to>
      <xdr:col>9</xdr:col>
      <xdr:colOff>2368200</xdr:colOff>
      <xdr:row>570</xdr:row>
      <xdr:rowOff>3532650</xdr:rowOff>
    </xdr:to>
    <xdr:pic>
      <xdr:nvPicPr>
        <xdr:cNvPr id="2274" name="Imagen 2273">
          <a:extLst>
            <a:ext uri="{FF2B5EF4-FFF2-40B4-BE49-F238E27FC236}">
              <a16:creationId xmlns:a16="http://schemas.microsoft.com/office/drawing/2014/main" id="{00000000-0008-0000-0100-0000E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9836442" y="24598425"/>
          <a:ext cx="0" cy="7776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232832</xdr:colOff>
      <xdr:row>5</xdr:row>
      <xdr:rowOff>148166</xdr:rowOff>
    </xdr:from>
    <xdr:to>
      <xdr:col>25</xdr:col>
      <xdr:colOff>338666</xdr:colOff>
      <xdr:row>23</xdr:row>
      <xdr:rowOff>74081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FB74829F-6DFF-4E5D-87E1-DEA53C6FBE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174626</xdr:colOff>
      <xdr:row>0</xdr:row>
      <xdr:rowOff>128695</xdr:rowOff>
    </xdr:from>
    <xdr:to>
      <xdr:col>25</xdr:col>
      <xdr:colOff>367010</xdr:colOff>
      <xdr:row>0</xdr:row>
      <xdr:rowOff>812657</xdr:rowOff>
    </xdr:to>
    <xdr:pic>
      <xdr:nvPicPr>
        <xdr:cNvPr id="66" name="Imagen 65" descr="789b4dbe-f0f5-4f43-96bb-c983c10e1e1b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34"/>
        <a:stretch/>
      </xdr:blipFill>
      <xdr:spPr bwMode="auto">
        <a:xfrm>
          <a:off x="11160126" y="350945"/>
          <a:ext cx="1525884" cy="6839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461817</xdr:colOff>
      <xdr:row>5</xdr:row>
      <xdr:rowOff>0</xdr:rowOff>
    </xdr:from>
    <xdr:to>
      <xdr:col>8</xdr:col>
      <xdr:colOff>63500</xdr:colOff>
      <xdr:row>21</xdr:row>
      <xdr:rowOff>3656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0475634-B65A-49D3-BC31-8F54151690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266700</xdr:colOff>
      <xdr:row>26</xdr:row>
      <xdr:rowOff>12700</xdr:rowOff>
    </xdr:from>
    <xdr:to>
      <xdr:col>27</xdr:col>
      <xdr:colOff>215900</xdr:colOff>
      <xdr:row>48</xdr:row>
      <xdr:rowOff>139699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430E8515-C781-4C0E-8916-A86194398D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596900</xdr:colOff>
      <xdr:row>26</xdr:row>
      <xdr:rowOff>26458</xdr:rowOff>
    </xdr:from>
    <xdr:to>
      <xdr:col>8</xdr:col>
      <xdr:colOff>179917</xdr:colOff>
      <xdr:row>45</xdr:row>
      <xdr:rowOff>100541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1B2BD949-9B94-45EF-83FE-F8DEB7497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42334</xdr:colOff>
      <xdr:row>53</xdr:row>
      <xdr:rowOff>0</xdr:rowOff>
    </xdr:from>
    <xdr:to>
      <xdr:col>27</xdr:col>
      <xdr:colOff>370416</xdr:colOff>
      <xdr:row>63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CENTRO DE TRABAJO">
              <a:extLst>
                <a:ext uri="{FF2B5EF4-FFF2-40B4-BE49-F238E27FC236}">
                  <a16:creationId xmlns:a16="http://schemas.microsoft.com/office/drawing/2014/main" id="{202499BF-69D5-2508-3B00-40DE24E26B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ENTRO DE TRABAJ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0772" y="11128375"/>
              <a:ext cx="13456707" cy="2301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2</xdr:col>
      <xdr:colOff>571500</xdr:colOff>
      <xdr:row>66</xdr:row>
      <xdr:rowOff>0</xdr:rowOff>
    </xdr:from>
    <xdr:to>
      <xdr:col>27</xdr:col>
      <xdr:colOff>88901</xdr:colOff>
      <xdr:row>96</xdr:row>
      <xdr:rowOff>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608EB536-EF5F-408F-AD01-DAA7F5964E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127000</xdr:colOff>
      <xdr:row>66</xdr:row>
      <xdr:rowOff>31750</xdr:rowOff>
    </xdr:from>
    <xdr:to>
      <xdr:col>6</xdr:col>
      <xdr:colOff>137583</xdr:colOff>
      <xdr:row>96</xdr:row>
      <xdr:rowOff>31750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B75FD58C-2A91-4ACD-A034-06241E5A8F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14</xdr:col>
      <xdr:colOff>315518</xdr:colOff>
      <xdr:row>13</xdr:row>
      <xdr:rowOff>86811</xdr:rowOff>
    </xdr:from>
    <xdr:ext cx="628377" cy="530658"/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AC42E93C-B75D-ECC7-73AC-87E2DBCC34C6}"/>
            </a:ext>
          </a:extLst>
        </xdr:cNvPr>
        <xdr:cNvSpPr/>
      </xdr:nvSpPr>
      <xdr:spPr>
        <a:xfrm>
          <a:off x="7787351" y="3589894"/>
          <a:ext cx="628377" cy="530658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ES" sz="2800" b="1" cap="none" spc="0">
              <a:ln/>
              <a:solidFill>
                <a:schemeClr val="accent3"/>
              </a:solidFill>
              <a:effectLst/>
            </a:rPr>
            <a:t>0%</a:t>
          </a:r>
        </a:p>
      </xdr:txBody>
    </xdr:sp>
    <xdr:clientData/>
  </xdr:oneCellAnchor>
  <xdr:oneCellAnchor>
    <xdr:from>
      <xdr:col>15</xdr:col>
      <xdr:colOff>249931</xdr:colOff>
      <xdr:row>8</xdr:row>
      <xdr:rowOff>48711</xdr:rowOff>
    </xdr:from>
    <xdr:ext cx="810351" cy="530658"/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EC20AB83-BF87-4491-A44A-18B50E4DAC18}"/>
            </a:ext>
          </a:extLst>
        </xdr:cNvPr>
        <xdr:cNvSpPr/>
      </xdr:nvSpPr>
      <xdr:spPr>
        <a:xfrm>
          <a:off x="8176848" y="2546378"/>
          <a:ext cx="810351" cy="530658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ES" sz="2800" b="1" cap="none" spc="0">
              <a:ln/>
              <a:solidFill>
                <a:schemeClr val="accent3"/>
              </a:solidFill>
              <a:effectLst/>
            </a:rPr>
            <a:t>25%</a:t>
          </a:r>
        </a:p>
      </xdr:txBody>
    </xdr:sp>
    <xdr:clientData/>
  </xdr:oneCellAnchor>
  <xdr:oneCellAnchor>
    <xdr:from>
      <xdr:col>19</xdr:col>
      <xdr:colOff>165</xdr:colOff>
      <xdr:row>5</xdr:row>
      <xdr:rowOff>42360</xdr:rowOff>
    </xdr:from>
    <xdr:ext cx="810351" cy="530658"/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F403D661-5A6C-43EE-B068-A17C5B0B2AF7}"/>
            </a:ext>
          </a:extLst>
        </xdr:cNvPr>
        <xdr:cNvSpPr/>
      </xdr:nvSpPr>
      <xdr:spPr>
        <a:xfrm>
          <a:off x="9747415" y="2000277"/>
          <a:ext cx="810351" cy="530658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ES" sz="2800" b="1" cap="none" spc="0">
              <a:ln/>
              <a:solidFill>
                <a:schemeClr val="accent3"/>
              </a:solidFill>
              <a:effectLst/>
            </a:rPr>
            <a:t>50%</a:t>
          </a:r>
        </a:p>
      </xdr:txBody>
    </xdr:sp>
    <xdr:clientData/>
  </xdr:oneCellAnchor>
  <xdr:oneCellAnchor>
    <xdr:from>
      <xdr:col>22</xdr:col>
      <xdr:colOff>258397</xdr:colOff>
      <xdr:row>8</xdr:row>
      <xdr:rowOff>25426</xdr:rowOff>
    </xdr:from>
    <xdr:ext cx="810351" cy="530658"/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31740E3F-FA13-4EBC-8F77-431728D4F0F2}"/>
            </a:ext>
          </a:extLst>
        </xdr:cNvPr>
        <xdr:cNvSpPr/>
      </xdr:nvSpPr>
      <xdr:spPr>
        <a:xfrm>
          <a:off x="11370897" y="2523093"/>
          <a:ext cx="810351" cy="530658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ES" sz="2800" b="1" cap="none" spc="0">
              <a:ln/>
              <a:solidFill>
                <a:schemeClr val="accent3"/>
              </a:solidFill>
              <a:effectLst/>
            </a:rPr>
            <a:t>75%</a:t>
          </a:r>
        </a:p>
      </xdr:txBody>
    </xdr:sp>
    <xdr:clientData/>
  </xdr:oneCellAnchor>
  <xdr:oneCellAnchor>
    <xdr:from>
      <xdr:col>23</xdr:col>
      <xdr:colOff>277478</xdr:colOff>
      <xdr:row>13</xdr:row>
      <xdr:rowOff>146076</xdr:rowOff>
    </xdr:from>
    <xdr:ext cx="992324" cy="530658"/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7FFE3A39-0A5F-4CA7-BDE1-1B64EF57C707}"/>
            </a:ext>
          </a:extLst>
        </xdr:cNvPr>
        <xdr:cNvSpPr/>
      </xdr:nvSpPr>
      <xdr:spPr>
        <a:xfrm>
          <a:off x="11845061" y="3649159"/>
          <a:ext cx="992324" cy="530658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ES" sz="2800" b="1" cap="none" spc="0">
              <a:ln/>
              <a:solidFill>
                <a:schemeClr val="accent3"/>
              </a:solidFill>
              <a:effectLst/>
            </a:rPr>
            <a:t>100%</a:t>
          </a:r>
        </a:p>
      </xdr:txBody>
    </xdr:sp>
    <xdr:clientData/>
  </xdr:oneCellAnchor>
  <xdr:twoCellAnchor>
    <xdr:from>
      <xdr:col>14</xdr:col>
      <xdr:colOff>444500</xdr:colOff>
      <xdr:row>16</xdr:row>
      <xdr:rowOff>42333</xdr:rowOff>
    </xdr:from>
    <xdr:to>
      <xdr:col>23</xdr:col>
      <xdr:colOff>433916</xdr:colOff>
      <xdr:row>21</xdr:row>
      <xdr:rowOff>137583</xdr:rowOff>
    </xdr:to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1E1E6818-A146-3F9D-469D-B8E1C79224C2}"/>
            </a:ext>
          </a:extLst>
        </xdr:cNvPr>
        <xdr:cNvSpPr txBox="1"/>
      </xdr:nvSpPr>
      <xdr:spPr>
        <a:xfrm>
          <a:off x="7916333" y="4138083"/>
          <a:ext cx="4085166" cy="1153583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rIns="0" rtlCol="0" anchor="t"/>
        <a:lstStyle/>
        <a:p>
          <a:pPr algn="ctr"/>
          <a:r>
            <a:rPr lang="es-CO" sz="18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PORCENTAJE DE CUMPLIMIENTO</a:t>
          </a:r>
        </a:p>
      </xdr:txBody>
    </xdr:sp>
    <xdr:clientData/>
  </xdr:twoCellAnchor>
  <xdr:twoCellAnchor>
    <xdr:from>
      <xdr:col>15</xdr:col>
      <xdr:colOff>201083</xdr:colOff>
      <xdr:row>17</xdr:row>
      <xdr:rowOff>179917</xdr:rowOff>
    </xdr:from>
    <xdr:to>
      <xdr:col>23</xdr:col>
      <xdr:colOff>264585</xdr:colOff>
      <xdr:row>21</xdr:row>
      <xdr:rowOff>84667</xdr:rowOff>
    </xdr:to>
    <xdr:sp macro="" textlink="'Metodología y Marco Teórico'!BK5">
      <xdr:nvSpPr>
        <xdr:cNvPr id="26" name="CuadroTexto 25">
          <a:extLst>
            <a:ext uri="{FF2B5EF4-FFF2-40B4-BE49-F238E27FC236}">
              <a16:creationId xmlns:a16="http://schemas.microsoft.com/office/drawing/2014/main" id="{218CBF14-7970-0EA9-75CF-FD39B3288041}"/>
            </a:ext>
          </a:extLst>
        </xdr:cNvPr>
        <xdr:cNvSpPr txBox="1"/>
      </xdr:nvSpPr>
      <xdr:spPr>
        <a:xfrm>
          <a:off x="8128000" y="4508500"/>
          <a:ext cx="3704168" cy="730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C72E995-6F83-44D2-A4EA-DF1FC9BD7989}" type="TxLink">
            <a:rPr lang="en-US" sz="4000" b="0" i="0" u="none" strike="noStrike">
              <a:solidFill>
                <a:schemeClr val="bg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algn="ctr"/>
            <a:t>60 %</a:t>
          </a:fld>
          <a:endParaRPr lang="es-CO" sz="400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73024</xdr:colOff>
      <xdr:row>45</xdr:row>
      <xdr:rowOff>23813</xdr:rowOff>
    </xdr:from>
    <xdr:to>
      <xdr:col>8</xdr:col>
      <xdr:colOff>365125</xdr:colOff>
      <xdr:row>48</xdr:row>
      <xdr:rowOff>111125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9" name="PRIORIDAD">
              <a:extLst>
                <a:ext uri="{FF2B5EF4-FFF2-40B4-BE49-F238E27FC236}">
                  <a16:creationId xmlns:a16="http://schemas.microsoft.com/office/drawing/2014/main" id="{00A59922-419B-95F1-84FF-F946021E9A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IOR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6962" y="9691688"/>
              <a:ext cx="3998913" cy="635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107950</xdr:colOff>
      <xdr:row>9</xdr:row>
      <xdr:rowOff>152400</xdr:rowOff>
    </xdr:from>
    <xdr:to>
      <xdr:col>27</xdr:col>
      <xdr:colOff>977900</xdr:colOff>
      <xdr:row>14</xdr:row>
      <xdr:rowOff>139700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04A06D8-BD2D-08B5-FF31-BE83403D33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187325</xdr:colOff>
      <xdr:row>10</xdr:row>
      <xdr:rowOff>101600</xdr:rowOff>
    </xdr:from>
    <xdr:to>
      <xdr:col>27</xdr:col>
      <xdr:colOff>819150</xdr:colOff>
      <xdr:row>16</xdr:row>
      <xdr:rowOff>127000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9CAECC5-6AA1-DB69-B64C-A6A7F3DFCB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46</xdr:col>
      <xdr:colOff>50800</xdr:colOff>
      <xdr:row>8</xdr:row>
      <xdr:rowOff>180975</xdr:rowOff>
    </xdr:from>
    <xdr:to>
      <xdr:col>47</xdr:col>
      <xdr:colOff>927100</xdr:colOff>
      <xdr:row>16</xdr:row>
      <xdr:rowOff>174625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9886DB2-E78B-6ED9-A5F1-314AE980A9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52</xdr:col>
      <xdr:colOff>222250</xdr:colOff>
      <xdr:row>9</xdr:row>
      <xdr:rowOff>152400</xdr:rowOff>
    </xdr:from>
    <xdr:to>
      <xdr:col>55</xdr:col>
      <xdr:colOff>368300</xdr:colOff>
      <xdr:row>16</xdr:row>
      <xdr:rowOff>323850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A156DCB-2743-8F0E-2180-DA866446D1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469900</xdr:colOff>
      <xdr:row>9</xdr:row>
      <xdr:rowOff>38100</xdr:rowOff>
    </xdr:from>
    <xdr:to>
      <xdr:col>39</xdr:col>
      <xdr:colOff>330200</xdr:colOff>
      <xdr:row>16</xdr:row>
      <xdr:rowOff>387350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708490E-BB5D-8AF2-73BF-BEE00F83FD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32</xdr:col>
      <xdr:colOff>104775</xdr:colOff>
      <xdr:row>6</xdr:row>
      <xdr:rowOff>254000</xdr:rowOff>
    </xdr:from>
    <xdr:to>
      <xdr:col>34</xdr:col>
      <xdr:colOff>298450</xdr:colOff>
      <xdr:row>11</xdr:row>
      <xdr:rowOff>12700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B2C3AE0-CD9B-C0FC-717C-6E4B33BF26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298450</xdr:colOff>
      <xdr:row>8</xdr:row>
      <xdr:rowOff>225425</xdr:rowOff>
    </xdr:from>
    <xdr:to>
      <xdr:col>27</xdr:col>
      <xdr:colOff>88900</xdr:colOff>
      <xdr:row>12</xdr:row>
      <xdr:rowOff>146050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41EF0FF-7652-CE86-DE73-2952EC8ADB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dra Rocio Medina Diaz" refreshedDate="45826.415155671297" createdVersion="6" refreshedVersion="6" minRefreshableVersion="3" recordCount="5" xr:uid="{00000000-000A-0000-FFFF-FFFF00000000}">
  <cacheSource type="worksheet">
    <worksheetSource name="Tabla1"/>
  </cacheSource>
  <cacheFields count="22">
    <cacheField name="N°" numFmtId="0">
      <sharedItems containsString="0" containsBlank="1" containsNumber="1" containsInteger="1" minValue="1" maxValue="2"/>
    </cacheField>
    <cacheField name="DÍA" numFmtId="0">
      <sharedItems containsNonDate="0" containsString="0" containsBlank="1"/>
    </cacheField>
    <cacheField name="MES" numFmtId="0">
      <sharedItems containsNonDate="0" containsString="0" containsBlank="1"/>
    </cacheField>
    <cacheField name="AÑO" numFmtId="0">
      <sharedItems containsNonDate="0" containsString="0" containsBlank="1" containsNumber="1" containsInteger="1" minValue="21" maxValue="2023" count="8">
        <m/>
        <n v="2022" u="1"/>
        <n v="2023" u="1"/>
        <n v="2020" u="1"/>
        <n v="2021" u="1"/>
        <n v="21" u="1"/>
        <n v="2017" u="1"/>
        <n v="22" u="1"/>
      </sharedItems>
    </cacheField>
    <cacheField name="IDENTIFICADO POR" numFmtId="0">
      <sharedItems containsNonDate="0" containsString="0" containsBlank="1"/>
    </cacheField>
    <cacheField name="CIUDAD" numFmtId="0">
      <sharedItems containsNonDate="0" containsString="0" containsBlank="1"/>
    </cacheField>
    <cacheField name="CENTRO DE TRABAJO" numFmtId="0">
      <sharedItems containsBlank="1" count="6">
        <s v="ARL"/>
        <s v="CGR"/>
        <s v="FABIAN ROBAYO" u="1"/>
        <m u="1"/>
        <s v="ALUPACK SAS" u="1"/>
        <s v="XXXXXX" u="1"/>
      </sharedItems>
    </cacheField>
    <cacheField name="PELIGRO IDENTIFICADO" numFmtId="0">
      <sharedItems count="3">
        <s v="Biológico"/>
        <s v="Trabajo en alturas"/>
        <s v="Biomecánico"/>
      </sharedItems>
    </cacheField>
    <cacheField name="HALLAZGO" numFmtId="0">
      <sharedItems containsNonDate="0" containsString="0" containsBlank="1"/>
    </cacheField>
    <cacheField name="EVIDENCIA" numFmtId="0">
      <sharedItems containsNonDate="0" containsString="0" containsBlank="1"/>
    </cacheField>
    <cacheField name="LUGAR / ÁREA" numFmtId="0">
      <sharedItems containsNonDate="0" containsString="0" containsBlank="1"/>
    </cacheField>
    <cacheField name="PRIORIDAD" numFmtId="0">
      <sharedItems containsBlank="1" count="7">
        <s v="MEDIA"/>
        <s v="ALTA"/>
        <s v="BAJA"/>
        <m u="1"/>
        <s v="ALTO" u="1"/>
        <s v="BAJO" u="1"/>
        <s v="MEDIO" u="1"/>
      </sharedItems>
    </cacheField>
    <cacheField name="CONTROL SUGERIDO" numFmtId="0">
      <sharedItems containsBlank="1" count="4">
        <s v="Fuente"/>
        <s v="Medio"/>
        <s v="Trabajador"/>
        <m u="1"/>
      </sharedItems>
    </cacheField>
    <cacheField name="DESCRIPCIÓN DE LA RECOMENDACIÓN" numFmtId="0">
      <sharedItems containsNonDate="0" containsString="0" containsBlank="1"/>
    </cacheField>
    <cacheField name="NORMATIVIDAD APLICABLE" numFmtId="0">
      <sharedItems containsNonDate="0" containsString="0" containsBlank="1"/>
    </cacheField>
    <cacheField name="RESPONSABLE" numFmtId="0">
      <sharedItems containsNonDate="0" containsString="0" containsBlank="1"/>
    </cacheField>
    <cacheField name="FECHA  EJECUCIÓN" numFmtId="0">
      <sharedItems containsNonDate="0" containsString="0" containsBlank="1"/>
    </cacheField>
    <cacheField name="SEGUIMIENTO O CIERRE" numFmtId="0">
      <sharedItems containsNonDate="0" containsString="0" containsBlank="1"/>
    </cacheField>
    <cacheField name=" DÍA" numFmtId="0">
      <sharedItems containsNonDate="0" containsString="0" containsBlank="1"/>
    </cacheField>
    <cacheField name=" MES" numFmtId="0">
      <sharedItems containsNonDate="0" containsString="0" containsBlank="1"/>
    </cacheField>
    <cacheField name=" AÑO" numFmtId="0">
      <sharedItems containsNonDate="0" containsString="0" containsBlank="1"/>
    </cacheField>
    <cacheField name="ESTADO " numFmtId="0">
      <sharedItems containsBlank="1" count="10">
        <s v="ABIERTO"/>
        <s v="EN PROCESO"/>
        <s v="CERRADO"/>
        <m u="1"/>
        <s v="*SIN CUMPLIR*" u="1"/>
        <s v="NO VIABLE" u="1"/>
        <s v="SIN CUMPLIR" u="1"/>
        <s v="EMPRESA DESAFILIADA" u="1"/>
        <s v="CIERRE ADMINISTRATIVO" u="1"/>
        <s v="CUMPLIDA" u="1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n v="1"/>
    <m/>
    <m/>
    <x v="0"/>
    <m/>
    <m/>
    <x v="0"/>
    <x v="0"/>
    <m/>
    <m/>
    <m/>
    <x v="0"/>
    <x v="0"/>
    <m/>
    <m/>
    <m/>
    <m/>
    <m/>
    <m/>
    <m/>
    <m/>
    <x v="0"/>
  </r>
  <r>
    <n v="2"/>
    <m/>
    <m/>
    <x v="0"/>
    <m/>
    <m/>
    <x v="0"/>
    <x v="0"/>
    <m/>
    <m/>
    <m/>
    <x v="1"/>
    <x v="1"/>
    <m/>
    <m/>
    <m/>
    <m/>
    <m/>
    <m/>
    <m/>
    <m/>
    <x v="1"/>
  </r>
  <r>
    <m/>
    <m/>
    <m/>
    <x v="0"/>
    <m/>
    <m/>
    <x v="1"/>
    <x v="1"/>
    <m/>
    <m/>
    <m/>
    <x v="1"/>
    <x v="0"/>
    <m/>
    <m/>
    <m/>
    <m/>
    <m/>
    <m/>
    <m/>
    <m/>
    <x v="2"/>
  </r>
  <r>
    <m/>
    <m/>
    <m/>
    <x v="0"/>
    <m/>
    <m/>
    <x v="1"/>
    <x v="1"/>
    <m/>
    <m/>
    <m/>
    <x v="1"/>
    <x v="1"/>
    <m/>
    <m/>
    <m/>
    <m/>
    <m/>
    <m/>
    <m/>
    <m/>
    <x v="2"/>
  </r>
  <r>
    <m/>
    <m/>
    <m/>
    <x v="0"/>
    <m/>
    <m/>
    <x v="1"/>
    <x v="2"/>
    <m/>
    <m/>
    <m/>
    <x v="2"/>
    <x v="2"/>
    <m/>
    <m/>
    <m/>
    <m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aDinámica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5">
  <location ref="BH13:BL17" firstHeaderRow="1" firstDataRow="2" firstDataCol="1" rowPageCount="1" colPageCount="1"/>
  <pivotFields count="22">
    <pivotField showAll="0" defaultSubtotal="0"/>
    <pivotField showAll="0" defaultSubtotal="0"/>
    <pivotField showAll="0" defaultSubtotal="0"/>
    <pivotField axis="axisPage" multipleItemSelectionAllowed="1" showAll="0" defaultSubtotal="0">
      <items count="8">
        <item m="1" x="5"/>
        <item m="1" x="7"/>
        <item m="1" x="3"/>
        <item m="1" x="4"/>
        <item m="1" x="1"/>
        <item m="1" x="2"/>
        <item m="1" x="6"/>
        <item x="0"/>
      </items>
    </pivotField>
    <pivotField showAll="0" defaultSubtotal="0"/>
    <pivotField showAll="0" defaultSubtotal="0"/>
    <pivotField axis="axisRow" showAll="0" defaultSubtotal="0">
      <items count="6">
        <item m="1" x="4"/>
        <item m="1" x="3"/>
        <item m="1" x="2"/>
        <item m="1" x="5"/>
        <item x="0"/>
        <item x="1"/>
      </items>
    </pivotField>
    <pivotField showAll="0"/>
    <pivotField showAll="0"/>
    <pivotField showAll="0"/>
    <pivotField showAll="0" defaultSubtotal="0"/>
    <pivotField showAll="0">
      <items count="8">
        <item x="1"/>
        <item m="1" x="4"/>
        <item x="2"/>
        <item m="1" x="5"/>
        <item x="0"/>
        <item m="1" x="6"/>
        <item m="1" x="3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Col" dataField="1" showAll="0">
      <items count="11">
        <item m="1" x="9"/>
        <item x="1"/>
        <item m="1" x="3"/>
        <item m="1" x="6"/>
        <item m="1" x="8"/>
        <item m="1" x="4"/>
        <item m="1" x="7"/>
        <item x="0"/>
        <item x="2"/>
        <item m="1" x="5"/>
        <item t="default"/>
      </items>
    </pivotField>
  </pivotFields>
  <rowFields count="1">
    <field x="6"/>
  </rowFields>
  <rowItems count="3">
    <i>
      <x v="4"/>
    </i>
    <i>
      <x v="5"/>
    </i>
    <i t="grand">
      <x/>
    </i>
  </rowItems>
  <colFields count="1">
    <field x="21"/>
  </colFields>
  <colItems count="4">
    <i>
      <x v="1"/>
    </i>
    <i>
      <x v="7"/>
    </i>
    <i>
      <x v="8"/>
    </i>
    <i t="grand">
      <x/>
    </i>
  </colItems>
  <pageFields count="1">
    <pageField fld="3" hier="-1"/>
  </pageFields>
  <dataFields count="1">
    <dataField name="Cuenta de ESTADO " fld="2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4000000}" name="TablaDinámica9" cacheId="0" applyNumberFormats="0" applyBorderFormats="0" applyFontFormats="0" applyPatternFormats="0" applyAlignmentFormats="0" applyWidthHeightFormats="1" dataCaption="Valores" updatedVersion="6" minRefreshableVersion="3" rowGrandTotals="0" colGrandTotals="0" itemPrintTitles="1" createdVersion="6" indent="0" outline="1" outlineData="1" multipleFieldFilters="0" chartFormat="6">
  <location ref="AQ11:AT15" firstHeaderRow="1" firstDataRow="2" firstDataCol="1"/>
  <pivotFields count="22"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m="1" x="4"/>
        <item x="0"/>
        <item x="1"/>
        <item m="1" x="2"/>
        <item m="1" x="5"/>
        <item m="1" x="3"/>
      </items>
    </pivotField>
    <pivotField showAll="0"/>
    <pivotField showAll="0"/>
    <pivotField showAll="0"/>
    <pivotField showAll="0" defaultSubtotal="0"/>
    <pivotField axis="axisRow" dataField="1" showAll="0">
      <items count="8">
        <item x="1"/>
        <item m="1" x="4"/>
        <item x="2"/>
        <item m="1" x="5"/>
        <item x="0"/>
        <item m="1" x="6"/>
        <item m="1" x="3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/>
    <pivotField showAll="0" defaultSubtotal="0"/>
    <pivotField showAll="0" defaultSubtotal="0"/>
    <pivotField showAll="0" defaultSubtotal="0"/>
    <pivotField axis="axisCol" showAll="0">
      <items count="11">
        <item m="1" x="9"/>
        <item x="1"/>
        <item m="1" x="6"/>
        <item m="1" x="3"/>
        <item m="1" x="8"/>
        <item m="1" x="4"/>
        <item m="1" x="7"/>
        <item x="0"/>
        <item x="2"/>
        <item m="1" x="5"/>
        <item t="default"/>
      </items>
    </pivotField>
  </pivotFields>
  <rowFields count="1">
    <field x="11"/>
  </rowFields>
  <rowItems count="3">
    <i>
      <x/>
    </i>
    <i>
      <x v="2"/>
    </i>
    <i>
      <x v="4"/>
    </i>
  </rowItems>
  <colFields count="1">
    <field x="21"/>
  </colFields>
  <colItems count="3">
    <i>
      <x v="1"/>
    </i>
    <i>
      <x v="7"/>
    </i>
    <i>
      <x v="8"/>
    </i>
  </colItems>
  <dataFields count="1">
    <dataField name="Cuenta de PRIORIDAD" fld="11" subtotal="count" baseField="0" baseItem="0"/>
  </dataFields>
  <chartFormats count="3"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3000000}" name="TablaDinámica4" cacheId="0" applyNumberFormats="0" applyBorderFormats="0" applyFontFormats="0" applyPatternFormats="0" applyAlignmentFormats="0" applyWidthHeightFormats="1" dataCaption="Valores" updatedVersion="6" minRefreshableVersion="3" rowGrandTotals="0" colGrandTotals="0" itemPrintTitles="1" createdVersion="6" indent="0" outline="1" outlineData="1" multipleFieldFilters="0" chartFormat="7">
  <location ref="AD11:AE14" firstHeaderRow="1" firstDataRow="1" firstDataCol="1"/>
  <pivotFields count="22"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m="1" x="4"/>
        <item x="0"/>
        <item x="1"/>
        <item m="1" x="2"/>
        <item m="1" x="5"/>
        <item m="1" x="3"/>
      </items>
    </pivotField>
    <pivotField showAll="0"/>
    <pivotField showAll="0"/>
    <pivotField showAll="0"/>
    <pivotField showAll="0" defaultSubtotal="0"/>
    <pivotField showAll="0">
      <items count="8">
        <item x="1"/>
        <item m="1" x="4"/>
        <item x="2"/>
        <item m="1" x="5"/>
        <item x="0"/>
        <item m="1" x="6"/>
        <item m="1" x="3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/>
    <pivotField showAll="0" defaultSubtotal="0"/>
    <pivotField showAll="0" defaultSubtotal="0"/>
    <pivotField showAll="0" defaultSubtotal="0"/>
    <pivotField axis="axisRow" dataField="1" showAll="0">
      <items count="11">
        <item m="1" x="9"/>
        <item x="1"/>
        <item m="1" x="6"/>
        <item m="1" x="3"/>
        <item m="1" x="8"/>
        <item m="1" x="4"/>
        <item m="1" x="7"/>
        <item x="0"/>
        <item x="2"/>
        <item m="1" x="5"/>
        <item t="default"/>
      </items>
    </pivotField>
  </pivotFields>
  <rowFields count="1">
    <field x="21"/>
  </rowFields>
  <rowItems count="3">
    <i>
      <x v="1"/>
    </i>
    <i>
      <x v="7"/>
    </i>
    <i>
      <x v="8"/>
    </i>
  </rowItems>
  <colItems count="1">
    <i/>
  </colItems>
  <dataFields count="1">
    <dataField name="Cuenta de ESTADO " fld="21" subtotal="count" baseField="11" baseItem="2"/>
  </dataFields>
  <chartFormats count="9">
    <chartFormat chart="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TablaDinámica10" cacheId="0" applyNumberFormats="0" applyBorderFormats="0" applyFontFormats="0" applyPatternFormats="0" applyAlignmentFormats="0" applyWidthHeightFormats="1" dataCaption="Valores" updatedVersion="6" minRefreshableVersion="3" rowGrandTotals="0" colGrandTotals="0" itemPrintTitles="1" createdVersion="6" indent="0" outline="1" outlineData="1" multipleFieldFilters="0" chartFormat="3">
  <location ref="AY11:BB15" firstHeaderRow="1" firstDataRow="2" firstDataCol="1"/>
  <pivotFields count="22"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m="1" x="4"/>
        <item x="0"/>
        <item x="1"/>
        <item m="1" x="2"/>
        <item m="1" x="5"/>
        <item m="1" x="3"/>
      </items>
    </pivotField>
    <pivotField showAll="0"/>
    <pivotField showAll="0"/>
    <pivotField showAll="0"/>
    <pivotField showAll="0" defaultSubtotal="0"/>
    <pivotField axis="axisRow" showAll="0">
      <items count="8">
        <item x="1"/>
        <item m="1" x="4"/>
        <item x="2"/>
        <item m="1" x="5"/>
        <item x="0"/>
        <item m="1" x="6"/>
        <item m="1" x="3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/>
    <pivotField showAll="0" defaultSubtotal="0"/>
    <pivotField showAll="0" defaultSubtotal="0"/>
    <pivotField showAll="0" defaultSubtotal="0"/>
    <pivotField axis="axisCol" dataField="1" showAll="0">
      <items count="11">
        <item m="1" x="8"/>
        <item m="1" x="9"/>
        <item x="1"/>
        <item m="1" x="6"/>
        <item m="1" x="3"/>
        <item m="1" x="4"/>
        <item m="1" x="7"/>
        <item x="0"/>
        <item x="2"/>
        <item m="1" x="5"/>
        <item t="default"/>
      </items>
    </pivotField>
  </pivotFields>
  <rowFields count="1">
    <field x="11"/>
  </rowFields>
  <rowItems count="3">
    <i>
      <x/>
    </i>
    <i>
      <x v="2"/>
    </i>
    <i>
      <x v="4"/>
    </i>
  </rowItems>
  <colFields count="1">
    <field x="21"/>
  </colFields>
  <colItems count="3">
    <i>
      <x v="2"/>
    </i>
    <i>
      <x v="7"/>
    </i>
    <i>
      <x v="8"/>
    </i>
  </colItems>
  <dataFields count="1">
    <dataField name="Cuenta de ESTADO " fld="2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TablaDinámica1" cacheId="0" applyNumberFormats="0" applyBorderFormats="0" applyFontFormats="0" applyPatternFormats="0" applyAlignmentFormats="0" applyWidthHeightFormats="1" dataCaption="Valores" updatedVersion="6" minRefreshableVersion="3" rowGrandTotals="0" colGrandTotals="0" itemPrintTitles="1" createdVersion="6" indent="0" outline="1" outlineData="1" multipleFieldFilters="0" chartFormat="5">
  <location ref="AH11:AK15" firstHeaderRow="1" firstDataRow="2" firstDataCol="1"/>
  <pivotFields count="22"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m="1" x="4"/>
        <item x="0"/>
        <item x="1"/>
        <item m="1" x="2"/>
        <item m="1" x="5"/>
        <item m="1" x="3"/>
      </items>
    </pivotField>
    <pivotField showAll="0"/>
    <pivotField showAll="0"/>
    <pivotField showAll="0"/>
    <pivotField showAll="0" defaultSubtotal="0"/>
    <pivotField axis="axisRow" showAll="0">
      <items count="8">
        <item x="1"/>
        <item m="1" x="4"/>
        <item x="2"/>
        <item m="1" x="5"/>
        <item x="0"/>
        <item m="1" x="6"/>
        <item m="1" x="3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/>
    <pivotField showAll="0" defaultSubtotal="0"/>
    <pivotField showAll="0" defaultSubtotal="0"/>
    <pivotField showAll="0" defaultSubtotal="0"/>
    <pivotField axis="axisCol" dataField="1" showAll="0">
      <items count="11">
        <item m="1" x="9"/>
        <item x="1"/>
        <item m="1" x="6"/>
        <item m="1" x="3"/>
        <item m="1" x="8"/>
        <item m="1" x="4"/>
        <item m="1" x="7"/>
        <item x="0"/>
        <item x="2"/>
        <item m="1" x="5"/>
        <item t="default"/>
      </items>
    </pivotField>
  </pivotFields>
  <rowFields count="1">
    <field x="11"/>
  </rowFields>
  <rowItems count="3">
    <i>
      <x/>
    </i>
    <i>
      <x v="2"/>
    </i>
    <i>
      <x v="4"/>
    </i>
  </rowItems>
  <colFields count="1">
    <field x="21"/>
  </colFields>
  <colItems count="3">
    <i>
      <x v="1"/>
    </i>
    <i>
      <x v="7"/>
    </i>
    <i>
      <x v="8"/>
    </i>
  </colItems>
  <dataFields count="1">
    <dataField name="Cuenta de ESTADO " fld="21" subtotal="count" showDataAs="percentOfRow" baseField="11" baseItem="2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A000000}" name="TablaDinámica9" cacheId="0" applyNumberFormats="0" applyBorderFormats="0" applyFontFormats="0" applyPatternFormats="0" applyAlignmentFormats="0" applyWidthHeightFormats="1" dataCaption="Valores" updatedVersion="6" minRefreshableVersion="3" useAutoFormatting="1" rowGrandTotals="0" itemPrintTitles="1" createdVersion="6" indent="0" outline="1" outlineData="1" multipleFieldFilters="0" chartFormat="24">
  <location ref="AG6:AH9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>
      <items count="7">
        <item m="1" x="4"/>
        <item x="0"/>
        <item x="1"/>
        <item m="1" x="2"/>
        <item m="1" x="5"/>
        <item m="1" x="3"/>
        <item t="default"/>
      </items>
    </pivotField>
    <pivotField showAll="0"/>
    <pivotField showAll="0"/>
    <pivotField showAll="0"/>
    <pivotField showAll="0"/>
    <pivotField showAll="0">
      <items count="8">
        <item x="1"/>
        <item m="1" x="4"/>
        <item x="2"/>
        <item m="1" x="5"/>
        <item x="0"/>
        <item m="1" x="6"/>
        <item m="1" x="3"/>
        <item t="default"/>
      </items>
    </pivotField>
    <pivotField axis="axisRow" showAll="0">
      <items count="5">
        <item m="1" x="3"/>
        <item x="0"/>
        <item x="1"/>
        <item x="2"/>
        <item t="default"/>
      </items>
    </pivotField>
    <pivotField showAll="0"/>
    <pivotField showAll="0"/>
    <pivotField showAll="0" defaultSubtotal="0"/>
    <pivotField showAll="0"/>
    <pivotField showAll="0"/>
    <pivotField showAll="0"/>
    <pivotField showAll="0"/>
    <pivotField showAll="0"/>
    <pivotField dataField="1" showAll="0" sortType="ascending"/>
  </pivotFields>
  <rowFields count="1">
    <field x="12"/>
  </rowFields>
  <rowItems count="3">
    <i>
      <x v="1"/>
    </i>
    <i>
      <x v="2"/>
    </i>
    <i>
      <x v="3"/>
    </i>
  </rowItems>
  <colItems count="1">
    <i/>
  </colItems>
  <dataFields count="1">
    <dataField name="Cuenta de ESTADO " fld="21" subtotal="count" baseField="0" baseItem="0"/>
  </dataFields>
  <chartFormats count="3">
    <chartFormat chart="1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9000000}" name="TablaDinámica7" cacheId="0" applyNumberFormats="0" applyBorderFormats="0" applyFontFormats="0" applyPatternFormats="0" applyAlignmentFormats="0" applyWidthHeightFormats="1" dataCaption="Valores" updatedVersion="6" minRefreshableVersion="3" useAutoFormatting="1" rowGrandTotals="0" itemPrintTitles="1" createdVersion="6" indent="0" outline="1" outlineData="1" multipleFieldFilters="0" chartFormat="22">
  <location ref="BA6:BE10" firstHeaderRow="1" firstDataRow="2" firstDataCol="1"/>
  <pivotFields count="22">
    <pivotField showAll="0"/>
    <pivotField showAll="0"/>
    <pivotField showAll="0"/>
    <pivotField showAll="0"/>
    <pivotField showAll="0"/>
    <pivotField showAll="0"/>
    <pivotField showAll="0">
      <items count="7">
        <item m="1" x="4"/>
        <item x="0"/>
        <item x="1"/>
        <item m="1" x="2"/>
        <item m="1" x="5"/>
        <item m="1" x="3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>
      <items count="8">
        <item x="1"/>
        <item m="1" x="4"/>
        <item x="2"/>
        <item m="1" x="5"/>
        <item x="0"/>
        <item m="1" x="6"/>
        <item m="1" x="3"/>
        <item t="default"/>
      </items>
    </pivotField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axis="axisCol" dataField="1" showAll="0" sortType="ascending">
      <items count="11">
        <item m="1" x="4"/>
        <item x="0"/>
        <item x="2"/>
        <item m="1" x="8"/>
        <item m="1" x="9"/>
        <item m="1" x="7"/>
        <item x="1"/>
        <item m="1" x="5"/>
        <item m="1" x="6"/>
        <item m="1" x="3"/>
        <item t="default"/>
      </items>
    </pivotField>
  </pivotFields>
  <rowFields count="1">
    <field x="7"/>
  </rowFields>
  <rowItems count="3">
    <i>
      <x/>
    </i>
    <i>
      <x v="1"/>
    </i>
    <i>
      <x v="2"/>
    </i>
  </rowItems>
  <colFields count="1">
    <field x="21"/>
  </colFields>
  <colItems count="4">
    <i>
      <x v="1"/>
    </i>
    <i>
      <x v="2"/>
    </i>
    <i>
      <x v="6"/>
    </i>
    <i t="grand">
      <x/>
    </i>
  </colItems>
  <dataFields count="1">
    <dataField name="Cuenta de ESTADO " fld="21" subtotal="count" showDataAs="percentOfRow" baseField="7" baseItem="1" numFmtId="10"/>
  </dataFields>
  <chartFormats count="11">
    <chartFormat chart="1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15" format="2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15" format="3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15" format="4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7"/>
          </reference>
        </references>
      </pivotArea>
    </chartFormat>
    <chartFormat chart="20" format="10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20" format="11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20" format="12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20" format="13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20" format="14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8000000}" name="TablaDinámica5" cacheId="0" applyNumberFormats="0" applyBorderFormats="0" applyFontFormats="0" applyPatternFormats="0" applyAlignmentFormats="0" applyWidthHeightFormats="1" dataCaption="Valores" updatedVersion="6" minRefreshableVersion="3" useAutoFormatting="1" rowGrandTotals="0" itemPrintTitles="1" createdVersion="6" indent="0" outline="1" outlineData="1" multipleFieldFilters="0" chartFormat="23">
  <location ref="AU6:AV9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>
      <items count="7">
        <item m="1" x="4"/>
        <item x="0"/>
        <item x="1"/>
        <item m="1" x="2"/>
        <item m="1" x="5"/>
        <item m="1" x="3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>
      <items count="8">
        <item x="1"/>
        <item m="1" x="4"/>
        <item x="2"/>
        <item m="1" x="5"/>
        <item x="0"/>
        <item m="1" x="6"/>
        <item m="1" x="3"/>
        <item t="default"/>
      </items>
    </pivotField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dataField="1" showAll="0" sortType="ascending"/>
  </pivotFields>
  <rowFields count="1">
    <field x="7"/>
  </rowFields>
  <rowItems count="3">
    <i>
      <x/>
    </i>
    <i>
      <x v="1"/>
    </i>
    <i>
      <x v="2"/>
    </i>
  </rowItems>
  <colItems count="1">
    <i/>
  </colItems>
  <dataFields count="1">
    <dataField name="Cuenta de ESTADO " fld="21" subtotal="count" baseField="0" baseItem="0"/>
  </dataFields>
  <chartFormats count="2">
    <chartFormat chart="1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7000000}" name="TablaDinámica4" cacheId="0" applyNumberFormats="0" applyBorderFormats="0" applyFontFormats="0" applyPatternFormats="0" applyAlignmentFormats="0" applyWidthHeightFormats="1" dataCaption="Valores" updatedVersion="6" minRefreshableVersion="3" useAutoFormatting="1" rowGrandTotals="0" itemPrintTitles="1" createdVersion="6" indent="0" outline="1" outlineData="1" multipleFieldFilters="0" chartFormat="18">
  <location ref="AA5:AB8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>
      <items count="7">
        <item m="1" x="4"/>
        <item x="0"/>
        <item x="1"/>
        <item m="1" x="2"/>
        <item m="1" x="5"/>
        <item m="1" x="3"/>
        <item t="default"/>
      </items>
    </pivotField>
    <pivotField showAll="0"/>
    <pivotField showAll="0"/>
    <pivotField showAll="0"/>
    <pivotField showAll="0"/>
    <pivotField showAll="0">
      <items count="8">
        <item x="1"/>
        <item m="1" x="4"/>
        <item x="2"/>
        <item m="1" x="5"/>
        <item x="0"/>
        <item m="1" x="6"/>
        <item m="1" x="3"/>
        <item t="default"/>
      </items>
    </pivotField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axis="axisRow" dataField="1" showAll="0" sortType="ascending">
      <items count="11">
        <item m="1" x="4"/>
        <item x="0"/>
        <item x="2"/>
        <item m="1" x="8"/>
        <item m="1" x="9"/>
        <item m="1" x="7"/>
        <item x="1"/>
        <item m="1" x="5"/>
        <item m="1" x="6"/>
        <item m="1" x="3"/>
        <item t="default"/>
      </items>
    </pivotField>
  </pivotFields>
  <rowFields count="1">
    <field x="21"/>
  </rowFields>
  <rowItems count="3">
    <i>
      <x v="1"/>
    </i>
    <i>
      <x v="2"/>
    </i>
    <i>
      <x v="6"/>
    </i>
  </rowItems>
  <colItems count="1">
    <i/>
  </colItems>
  <dataFields count="1">
    <dataField name="Cuenta de ESTADO " fld="21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6000000}" name="TablaDinámica10" cacheId="0" applyNumberFormats="0" applyBorderFormats="0" applyFontFormats="0" applyPatternFormats="0" applyAlignmentFormats="0" applyWidthHeightFormats="1" dataCaption="Valores" updatedVersion="6" minRefreshableVersion="3" useAutoFormatting="1" rowGrandTotals="0" itemPrintTitles="1" createdVersion="6" indent="0" outline="1" outlineData="1" multipleFieldFilters="0" chartFormat="30">
  <location ref="AJ6:AN10" firstHeaderRow="1" firstDataRow="2" firstDataCol="1"/>
  <pivotFields count="22">
    <pivotField showAll="0"/>
    <pivotField showAll="0"/>
    <pivotField showAll="0"/>
    <pivotField showAll="0"/>
    <pivotField showAll="0"/>
    <pivotField showAll="0"/>
    <pivotField showAll="0">
      <items count="7">
        <item m="1" x="4"/>
        <item x="0"/>
        <item x="1"/>
        <item m="1" x="2"/>
        <item m="1" x="5"/>
        <item m="1" x="3"/>
        <item t="default"/>
      </items>
    </pivotField>
    <pivotField showAll="0"/>
    <pivotField showAll="0"/>
    <pivotField showAll="0"/>
    <pivotField showAll="0"/>
    <pivotField showAll="0">
      <items count="8">
        <item x="1"/>
        <item m="1" x="4"/>
        <item x="2"/>
        <item m="1" x="5"/>
        <item x="0"/>
        <item m="1" x="6"/>
        <item m="1" x="3"/>
        <item t="default"/>
      </items>
    </pivotField>
    <pivotField axis="axisRow" showAll="0">
      <items count="5">
        <item m="1" x="3"/>
        <item x="0"/>
        <item x="1"/>
        <item x="2"/>
        <item t="default"/>
      </items>
    </pivotField>
    <pivotField showAll="0"/>
    <pivotField showAll="0"/>
    <pivotField showAll="0" defaultSubtotal="0"/>
    <pivotField showAll="0"/>
    <pivotField showAll="0"/>
    <pivotField showAll="0"/>
    <pivotField showAll="0"/>
    <pivotField showAll="0"/>
    <pivotField axis="axisCol" dataField="1" showAll="0" sortType="ascending">
      <items count="11">
        <item m="1" x="4"/>
        <item x="0"/>
        <item x="2"/>
        <item m="1" x="8"/>
        <item m="1" x="9"/>
        <item m="1" x="7"/>
        <item x="1"/>
        <item m="1" x="5"/>
        <item m="1" x="6"/>
        <item m="1" x="3"/>
        <item t="default"/>
      </items>
    </pivotField>
  </pivotFields>
  <rowFields count="1">
    <field x="12"/>
  </rowFields>
  <rowItems count="3">
    <i>
      <x v="1"/>
    </i>
    <i>
      <x v="2"/>
    </i>
    <i>
      <x v="3"/>
    </i>
  </rowItems>
  <colFields count="1">
    <field x="21"/>
  </colFields>
  <colItems count="4">
    <i>
      <x v="1"/>
    </i>
    <i>
      <x v="2"/>
    </i>
    <i>
      <x v="6"/>
    </i>
    <i t="grand">
      <x/>
    </i>
  </colItems>
  <dataFields count="1">
    <dataField name="Cuenta de ESTADO " fld="21" subtotal="count" showDataAs="percentOfRow" baseField="21" baseItem="0" numFmtId="10"/>
  </dataFields>
  <chartFormats count="11">
    <chartFormat chart="1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16" format="3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16" format="4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7"/>
          </reference>
        </references>
      </pivotArea>
    </chartFormat>
    <chartFormat chart="22" format="13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22" format="14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22" format="15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22" format="16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22" format="17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5000000}" name="TablaDinámica11" cacheId="0" applyNumberFormats="0" applyBorderFormats="0" applyFontFormats="0" applyPatternFormats="0" applyAlignmentFormats="0" applyWidthHeightFormats="1" dataCaption="Valores" updatedVersion="6" minRefreshableVersion="3" useAutoFormatting="1" rowGrandTotals="0" itemPrintTitles="1" createdVersion="6" indent="0" outline="1" outlineData="1" multipleFieldFilters="0" chartFormat="23">
  <location ref="AA17:AA18" firstHeaderRow="1" firstDataRow="1" firstDataCol="0"/>
  <pivotFields count="22">
    <pivotField showAll="0"/>
    <pivotField showAll="0"/>
    <pivotField showAll="0"/>
    <pivotField showAll="0"/>
    <pivotField showAll="0"/>
    <pivotField showAll="0"/>
    <pivotField showAll="0">
      <items count="7">
        <item m="1" x="4"/>
        <item x="0"/>
        <item x="1"/>
        <item m="1" x="2"/>
        <item m="1" x="5"/>
        <item m="1" x="3"/>
        <item t="default"/>
      </items>
    </pivotField>
    <pivotField showAll="0"/>
    <pivotField showAll="0"/>
    <pivotField showAll="0"/>
    <pivotField showAll="0"/>
    <pivotField showAll="0">
      <items count="8">
        <item x="1"/>
        <item m="1" x="4"/>
        <item x="2"/>
        <item m="1" x="5"/>
        <item x="0"/>
        <item m="1" x="6"/>
        <item m="1" x="3"/>
        <item t="default"/>
      </items>
    </pivotField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dataField="1" showAll="0" sortType="ascending"/>
  </pivotFields>
  <rowItems count="1">
    <i/>
  </rowItems>
  <colItems count="1">
    <i/>
  </colItems>
  <dataFields count="1">
    <dataField name="Cuenta de ESTADO " fld="21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4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ENTRO_DE_TRABAJO" xr10:uid="{00000000-0013-0000-FFFF-FFFF01000000}" sourceName="CENTRO DE TRABAJO">
  <pivotTables>
    <pivotTable tabId="21" name="TablaDinámica5"/>
    <pivotTable tabId="9" name="TablaDinámica1"/>
    <pivotTable tabId="9" name="TablaDinámica10"/>
    <pivotTable tabId="9" name="TablaDinámica2"/>
    <pivotTable tabId="9" name="TablaDinámica4"/>
    <pivotTable tabId="9" name="TablaDinámica9"/>
    <pivotTable tabId="21" name="TablaDinámica10"/>
    <pivotTable tabId="21" name="TablaDinámica7"/>
    <pivotTable tabId="21" name="TablaDinámica9"/>
    <pivotTable tabId="21" name="TablaDinámica4"/>
    <pivotTable tabId="21" name="TablaDinámica11"/>
  </pivotTables>
  <data>
    <tabular pivotCacheId="1">
      <items count="6">
        <i x="0" s="1"/>
        <i x="1" s="1"/>
        <i x="4" s="1" nd="1"/>
        <i x="2" s="1" nd="1"/>
        <i x="5" s="1" nd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IORIDAD" xr10:uid="{00000000-0013-0000-FFFF-FFFF02000000}" sourceName="PRIORIDAD">
  <pivotTables>
    <pivotTable tabId="9" name="TablaDinámica10"/>
    <pivotTable tabId="9" name="TablaDinámica2"/>
    <pivotTable tabId="9" name="TablaDinámica9"/>
    <pivotTable tabId="21" name="TablaDinámica10"/>
    <pivotTable tabId="21" name="TablaDinámica5"/>
    <pivotTable tabId="21" name="TablaDinámica7"/>
    <pivotTable tabId="21" name="TablaDinámica9"/>
    <pivotTable tabId="9" name="TablaDinámica1"/>
    <pivotTable tabId="9" name="TablaDinámica4"/>
    <pivotTable tabId="21" name="TablaDinámica4"/>
    <pivotTable tabId="21" name="TablaDinámica11"/>
  </pivotTables>
  <data>
    <tabular pivotCacheId="1">
      <items count="7">
        <i x="1" s="1"/>
        <i x="2" s="1"/>
        <i x="0" s="1"/>
        <i x="4" s="1" nd="1"/>
        <i x="5" s="1" nd="1"/>
        <i x="6" s="1" nd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ENTRO DE TRABAJO" xr10:uid="{00000000-0014-0000-FFFF-FFFF01000000}" cache="SegmentaciónDeDatos_CENTRO_DE_TRABAJO" caption="CENTRO DE TRABAJO" columnCount="8" rowHeight="241300"/>
  <slicer name="PRIORIDAD" xr10:uid="{00000000-0014-0000-FFFF-FFFF02000000}" cache="SegmentaciónDeDatos_PRIORIDAD" caption="PRIORIDAD" columnCount="3" style="SlicerStyleLight4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4:U9" totalsRowShown="0" headerRowDxfId="57" dataDxfId="55" headerRowBorderDxfId="56" tableBorderDxfId="54">
  <autoFilter ref="A4:U9" xr:uid="{00000000-0009-0000-0100-000001000000}"/>
  <tableColumns count="21">
    <tableColumn id="1" xr3:uid="{00000000-0010-0000-0000-000001000000}" name="N°" dataDxfId="53" totalsRowDxfId="52"/>
    <tableColumn id="2" xr3:uid="{00000000-0010-0000-0000-000002000000}" name="DÍA" dataDxfId="51" totalsRowDxfId="50"/>
    <tableColumn id="3" xr3:uid="{00000000-0010-0000-0000-000003000000}" name="MES" dataDxfId="49" totalsRowDxfId="48"/>
    <tableColumn id="4" xr3:uid="{00000000-0010-0000-0000-000004000000}" name="AÑO" dataDxfId="47" totalsRowDxfId="46"/>
    <tableColumn id="22" xr3:uid="{00000000-0010-0000-0000-000016000000}" name="IDENTIFICADO POR" dataDxfId="45" totalsRowDxfId="44"/>
    <tableColumn id="21" xr3:uid="{00000000-0010-0000-0000-000015000000}" name="CIUDAD" dataDxfId="43" totalsRowDxfId="42"/>
    <tableColumn id="5" xr3:uid="{00000000-0010-0000-0000-000005000000}" name="CENTRO DE TRABAJO" dataDxfId="41" totalsRowDxfId="40"/>
    <tableColumn id="6" xr3:uid="{00000000-0010-0000-0000-000006000000}" name="PELIGRO IDENTIFICADO" dataDxfId="39" totalsRowDxfId="38"/>
    <tableColumn id="8" xr3:uid="{00000000-0010-0000-0000-000008000000}" name="HALLAZGO" dataDxfId="37" totalsRowDxfId="36"/>
    <tableColumn id="9" xr3:uid="{00000000-0010-0000-0000-000009000000}" name="EVIDENCIA" dataDxfId="35" totalsRowDxfId="34" dataCellStyle="Normal 2"/>
    <tableColumn id="10" xr3:uid="{00000000-0010-0000-0000-00000A000000}" name="LUGAR / ÁREA" dataDxfId="33" totalsRowDxfId="32" dataCellStyle="Normal 2"/>
    <tableColumn id="11" xr3:uid="{00000000-0010-0000-0000-00000B000000}" name="PRIORIDAD" dataDxfId="31"/>
    <tableColumn id="23" xr3:uid="{00000000-0010-0000-0000-000017000000}" name="CONTROL SUGERIDO" dataDxfId="30" totalsRowDxfId="29"/>
    <tableColumn id="12" xr3:uid="{00000000-0010-0000-0000-00000C000000}" name="DESCRIPCIÓN DE LA RECOMENDACIÓN" dataDxfId="28" totalsRowDxfId="27" dataCellStyle="Normal 2"/>
    <tableColumn id="24" xr3:uid="{00000000-0010-0000-0000-000018000000}" name="NORMATIVIDAD APLICABLE" dataDxfId="26" totalsRowDxfId="25"/>
    <tableColumn id="13" xr3:uid="{00000000-0010-0000-0000-00000D000000}" name="RESPONSABLE" dataDxfId="24" totalsRowDxfId="23" dataCellStyle="Normal_Formato matriz de seguimiento"/>
    <tableColumn id="14" xr3:uid="{00000000-0010-0000-0000-00000E000000}" name="FECHA  EJECUCIÓN" dataDxfId="22" totalsRowDxfId="21"/>
    <tableColumn id="16" xr3:uid="{00000000-0010-0000-0000-000010000000}" name=" DÍA" dataDxfId="20" totalsRowDxfId="19"/>
    <tableColumn id="17" xr3:uid="{00000000-0010-0000-0000-000011000000}" name=" MES" dataDxfId="18" totalsRowDxfId="17"/>
    <tableColumn id="18" xr3:uid="{00000000-0010-0000-0000-000012000000}" name=" AÑO" dataDxfId="16" totalsRowDxfId="15"/>
    <tableColumn id="19" xr3:uid="{00000000-0010-0000-0000-000013000000}" name="ESTADO " dataDxfId="14" totalsRow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3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7" Type="http://schemas.openxmlformats.org/officeDocument/2006/relationships/drawing" Target="../drawings/drawing4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pivotTable" Target="../pivotTables/pivotTable11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5"/>
  <sheetViews>
    <sheetView tabSelected="1" view="pageBreakPreview" zoomScaleNormal="100" zoomScaleSheetLayoutView="100" workbookViewId="0">
      <selection activeCell="B6" sqref="B6:I6"/>
    </sheetView>
  </sheetViews>
  <sheetFormatPr baseColWidth="10" defaultColWidth="12" defaultRowHeight="15.6" x14ac:dyDescent="0.3"/>
  <cols>
    <col min="1" max="1" width="1.77734375" style="47" customWidth="1"/>
    <col min="2" max="4" width="6" style="47" customWidth="1"/>
    <col min="5" max="5" width="11.21875" style="47" customWidth="1"/>
    <col min="6" max="8" width="6" style="47" customWidth="1"/>
    <col min="9" max="9" width="15.77734375" style="47" customWidth="1"/>
    <col min="10" max="22" width="6" style="47" customWidth="1"/>
    <col min="23" max="23" width="0.109375" style="47" customWidth="1"/>
    <col min="24" max="16384" width="12" style="47"/>
  </cols>
  <sheetData>
    <row r="1" spans="1:55" ht="15.75" customHeight="1" x14ac:dyDescent="0.3">
      <c r="A1" s="45"/>
      <c r="B1" s="81" t="s">
        <v>58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3"/>
      <c r="T1" s="81"/>
      <c r="U1" s="82"/>
      <c r="V1" s="82"/>
      <c r="W1" s="83"/>
      <c r="X1" s="45"/>
      <c r="Y1" s="46"/>
      <c r="BC1" s="47" t="s">
        <v>59</v>
      </c>
    </row>
    <row r="2" spans="1:55" ht="15.75" customHeight="1" x14ac:dyDescent="0.3">
      <c r="A2" s="45"/>
      <c r="B2" s="84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6"/>
      <c r="T2" s="84"/>
      <c r="U2" s="85"/>
      <c r="V2" s="85"/>
      <c r="W2" s="86"/>
      <c r="X2" s="45"/>
      <c r="Y2" s="46"/>
      <c r="BC2" s="47" t="s">
        <v>60</v>
      </c>
    </row>
    <row r="3" spans="1:55" ht="21.75" customHeight="1" thickBot="1" x14ac:dyDescent="0.35">
      <c r="A3" s="45"/>
      <c r="B3" s="87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9"/>
      <c r="T3" s="87"/>
      <c r="U3" s="88"/>
      <c r="V3" s="88"/>
      <c r="W3" s="89"/>
      <c r="X3" s="45"/>
      <c r="Y3" s="46"/>
    </row>
    <row r="4" spans="1:55" ht="39" customHeight="1" thickBot="1" x14ac:dyDescent="0.35">
      <c r="A4" s="46"/>
      <c r="B4" s="118" t="s">
        <v>53</v>
      </c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20"/>
      <c r="X4" s="46"/>
      <c r="Y4" s="46"/>
    </row>
    <row r="5" spans="1:55" ht="9" customHeight="1" x14ac:dyDescent="0.3">
      <c r="A5" s="51"/>
      <c r="B5" s="48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50"/>
      <c r="X5" s="46"/>
      <c r="Y5" s="46"/>
    </row>
    <row r="6" spans="1:55" ht="26.25" customHeight="1" x14ac:dyDescent="0.3">
      <c r="A6" s="51"/>
      <c r="B6" s="99" t="s">
        <v>128</v>
      </c>
      <c r="C6" s="100"/>
      <c r="D6" s="100"/>
      <c r="E6" s="100"/>
      <c r="F6" s="100"/>
      <c r="G6" s="100"/>
      <c r="H6" s="100"/>
      <c r="I6" s="100"/>
      <c r="J6" s="121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3"/>
      <c r="X6" s="46"/>
      <c r="Y6" s="46"/>
    </row>
    <row r="7" spans="1:55" ht="20.100000000000001" customHeight="1" x14ac:dyDescent="0.3">
      <c r="A7" s="51"/>
      <c r="B7" s="99" t="s">
        <v>61</v>
      </c>
      <c r="C7" s="100"/>
      <c r="D7" s="100"/>
      <c r="E7" s="100"/>
      <c r="F7" s="100"/>
      <c r="G7" s="100"/>
      <c r="H7" s="100"/>
      <c r="I7" s="100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3"/>
      <c r="X7" s="46"/>
      <c r="Y7" s="46"/>
    </row>
    <row r="8" spans="1:55" ht="20.100000000000001" customHeight="1" x14ac:dyDescent="0.3">
      <c r="A8" s="51"/>
      <c r="B8" s="99" t="s">
        <v>127</v>
      </c>
      <c r="C8" s="100"/>
      <c r="D8" s="100"/>
      <c r="E8" s="100"/>
      <c r="F8" s="100"/>
      <c r="G8" s="100"/>
      <c r="H8" s="100"/>
      <c r="I8" s="100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3"/>
      <c r="X8" s="46"/>
      <c r="Y8" s="46"/>
    </row>
    <row r="9" spans="1:55" ht="20.100000000000001" customHeight="1" x14ac:dyDescent="0.3">
      <c r="A9" s="52"/>
      <c r="B9" s="111" t="s">
        <v>62</v>
      </c>
      <c r="C9" s="112"/>
      <c r="D9" s="112"/>
      <c r="E9" s="103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30"/>
      <c r="X9" s="46"/>
      <c r="Y9" s="46"/>
    </row>
    <row r="10" spans="1:55" ht="20.100000000000001" customHeight="1" x14ac:dyDescent="0.3">
      <c r="A10" s="51"/>
      <c r="B10" s="111" t="s">
        <v>126</v>
      </c>
      <c r="C10" s="112"/>
      <c r="D10" s="112"/>
      <c r="E10" s="103"/>
      <c r="F10" s="90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2"/>
      <c r="X10" s="46"/>
      <c r="Y10" s="46"/>
    </row>
    <row r="11" spans="1:55" ht="20.100000000000001" customHeight="1" x14ac:dyDescent="0.3">
      <c r="A11" s="51"/>
      <c r="B11" s="111" t="s">
        <v>63</v>
      </c>
      <c r="C11" s="112"/>
      <c r="D11" s="112"/>
      <c r="E11" s="103"/>
      <c r="F11" s="113"/>
      <c r="G11" s="113"/>
      <c r="H11" s="113"/>
      <c r="I11" s="113"/>
      <c r="J11" s="113"/>
      <c r="K11" s="113"/>
      <c r="L11" s="124" t="s">
        <v>64</v>
      </c>
      <c r="M11" s="125"/>
      <c r="N11" s="125"/>
      <c r="O11" s="125"/>
      <c r="P11" s="126"/>
      <c r="Q11" s="127"/>
      <c r="R11" s="127"/>
      <c r="S11" s="127"/>
      <c r="T11" s="127"/>
      <c r="U11" s="127"/>
      <c r="V11" s="127"/>
      <c r="W11" s="128"/>
      <c r="X11" s="46"/>
      <c r="Y11" s="46"/>
    </row>
    <row r="12" spans="1:55" ht="20.100000000000001" customHeight="1" x14ac:dyDescent="0.3">
      <c r="A12" s="51"/>
      <c r="B12" s="111" t="s">
        <v>65</v>
      </c>
      <c r="C12" s="112"/>
      <c r="D12" s="112"/>
      <c r="E12" s="10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4"/>
      <c r="X12" s="46"/>
      <c r="Y12" s="46"/>
    </row>
    <row r="13" spans="1:55" ht="20.100000000000001" customHeight="1" x14ac:dyDescent="0.3">
      <c r="A13" s="51"/>
      <c r="B13" s="111" t="s">
        <v>66</v>
      </c>
      <c r="C13" s="112"/>
      <c r="D13" s="112"/>
      <c r="E13" s="103"/>
      <c r="F13" s="115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7"/>
      <c r="X13" s="46"/>
      <c r="Y13" s="46"/>
    </row>
    <row r="14" spans="1:55" ht="20.100000000000001" customHeight="1" x14ac:dyDescent="0.3">
      <c r="A14" s="53"/>
      <c r="B14" s="99" t="s">
        <v>67</v>
      </c>
      <c r="C14" s="100"/>
      <c r="D14" s="100"/>
      <c r="E14" s="100"/>
      <c r="F14" s="100"/>
      <c r="G14" s="100"/>
      <c r="H14" s="100"/>
      <c r="I14" s="100"/>
      <c r="J14" s="101"/>
      <c r="K14" s="101"/>
      <c r="L14" s="101"/>
      <c r="M14" s="101"/>
      <c r="N14" s="101"/>
      <c r="O14" s="101"/>
      <c r="P14" s="102" t="s">
        <v>68</v>
      </c>
      <c r="Q14" s="103"/>
      <c r="R14" s="104"/>
      <c r="S14" s="104"/>
      <c r="T14" s="104"/>
      <c r="U14" s="104"/>
      <c r="V14" s="104"/>
      <c r="W14" s="105"/>
      <c r="X14" s="46"/>
      <c r="Y14" s="46"/>
    </row>
    <row r="15" spans="1:55" ht="20.100000000000001" customHeight="1" thickBot="1" x14ac:dyDescent="0.35">
      <c r="A15" s="52"/>
      <c r="B15" s="106" t="s">
        <v>77</v>
      </c>
      <c r="C15" s="107"/>
      <c r="D15" s="107"/>
      <c r="E15" s="108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10"/>
      <c r="X15" s="46"/>
      <c r="Y15" s="46"/>
    </row>
    <row r="16" spans="1:55" ht="6" customHeight="1" x14ac:dyDescent="0.3">
      <c r="A16" s="52"/>
    </row>
    <row r="17" spans="1:23" x14ac:dyDescent="0.3">
      <c r="A17" s="52"/>
      <c r="B17" s="75" t="s">
        <v>69</v>
      </c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7"/>
    </row>
    <row r="18" spans="1:23" ht="50.1" customHeight="1" x14ac:dyDescent="0.3">
      <c r="A18" s="93"/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5"/>
    </row>
    <row r="19" spans="1:23" x14ac:dyDescent="0.3">
      <c r="A19" s="75" t="s">
        <v>70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7"/>
      <c r="W19" s="70"/>
    </row>
    <row r="20" spans="1:23" ht="50.1" customHeight="1" x14ac:dyDescent="0.3">
      <c r="A20" s="78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80"/>
    </row>
    <row r="21" spans="1:23" x14ac:dyDescent="0.3">
      <c r="A21" s="75" t="s">
        <v>71</v>
      </c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7"/>
      <c r="W21" s="70"/>
    </row>
    <row r="22" spans="1:23" ht="50.1" customHeight="1" x14ac:dyDescent="0.3">
      <c r="A22" s="96"/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8"/>
    </row>
    <row r="23" spans="1:23" ht="15.45" customHeight="1" x14ac:dyDescent="0.3">
      <c r="A23" s="75" t="s">
        <v>129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7"/>
      <c r="W23" s="70"/>
    </row>
    <row r="24" spans="1:23" ht="50.1" customHeight="1" x14ac:dyDescent="0.3">
      <c r="A24" s="78" t="s">
        <v>130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80"/>
    </row>
    <row r="25" spans="1:23" x14ac:dyDescent="0.3">
      <c r="A25" s="75" t="s">
        <v>72</v>
      </c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7"/>
      <c r="W25" s="70"/>
    </row>
    <row r="26" spans="1:23" ht="50.1" customHeight="1" x14ac:dyDescent="0.3">
      <c r="A26" s="78" t="s">
        <v>131</v>
      </c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80"/>
    </row>
    <row r="27" spans="1:23" x14ac:dyDescent="0.3">
      <c r="A27" s="75" t="s">
        <v>73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7"/>
      <c r="W27" s="70"/>
    </row>
    <row r="28" spans="1:23" ht="50.1" customHeight="1" x14ac:dyDescent="0.3">
      <c r="A28" s="78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80"/>
    </row>
    <row r="29" spans="1:23" x14ac:dyDescent="0.3">
      <c r="A29" s="75" t="s">
        <v>74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7"/>
      <c r="W29" s="70"/>
    </row>
    <row r="30" spans="1:23" ht="50.1" customHeight="1" x14ac:dyDescent="0.3">
      <c r="A30" s="78" t="s">
        <v>123</v>
      </c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80"/>
    </row>
    <row r="31" spans="1:23" x14ac:dyDescent="0.3">
      <c r="A31" s="75" t="s">
        <v>75</v>
      </c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7"/>
      <c r="W31" s="70"/>
    </row>
    <row r="32" spans="1:23" ht="50.1" customHeight="1" x14ac:dyDescent="0.3">
      <c r="A32" s="78" t="s">
        <v>124</v>
      </c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80"/>
    </row>
    <row r="33" spans="1:23" x14ac:dyDescent="0.3">
      <c r="A33" s="75" t="s">
        <v>76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7"/>
      <c r="W33" s="70"/>
    </row>
    <row r="34" spans="1:23" x14ac:dyDescent="0.3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80"/>
    </row>
    <row r="35" spans="1:23" ht="50.1" customHeight="1" x14ac:dyDescent="0.3">
      <c r="A35" s="78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80"/>
    </row>
  </sheetData>
  <mergeCells count="45">
    <mergeCell ref="T1:W3"/>
    <mergeCell ref="B4:W4"/>
    <mergeCell ref="B6:I6"/>
    <mergeCell ref="J6:W6"/>
    <mergeCell ref="B11:E11"/>
    <mergeCell ref="F11:K11"/>
    <mergeCell ref="L11:O11"/>
    <mergeCell ref="P11:W11"/>
    <mergeCell ref="B10:E10"/>
    <mergeCell ref="B9:E9"/>
    <mergeCell ref="F9:W9"/>
    <mergeCell ref="B7:I7"/>
    <mergeCell ref="J7:W7"/>
    <mergeCell ref="B8:I8"/>
    <mergeCell ref="J8:W8"/>
    <mergeCell ref="R14:W14"/>
    <mergeCell ref="B15:E15"/>
    <mergeCell ref="F15:W15"/>
    <mergeCell ref="B12:E12"/>
    <mergeCell ref="F12:W12"/>
    <mergeCell ref="B13:E13"/>
    <mergeCell ref="F13:W13"/>
    <mergeCell ref="A34:W35"/>
    <mergeCell ref="B1:S3"/>
    <mergeCell ref="F10:W10"/>
    <mergeCell ref="A32:W32"/>
    <mergeCell ref="A26:W26"/>
    <mergeCell ref="A28:W28"/>
    <mergeCell ref="A30:W30"/>
    <mergeCell ref="A18:W18"/>
    <mergeCell ref="A20:W20"/>
    <mergeCell ref="A22:W22"/>
    <mergeCell ref="A24:W24"/>
    <mergeCell ref="A23:V23"/>
    <mergeCell ref="A25:V25"/>
    <mergeCell ref="B14:I14"/>
    <mergeCell ref="J14:O14"/>
    <mergeCell ref="P14:Q14"/>
    <mergeCell ref="A27:V27"/>
    <mergeCell ref="A29:V29"/>
    <mergeCell ref="A31:V31"/>
    <mergeCell ref="A33:V33"/>
    <mergeCell ref="B17:W17"/>
    <mergeCell ref="A19:V19"/>
    <mergeCell ref="A21:V21"/>
  </mergeCells>
  <pageMargins left="0.7" right="0.7" top="0.75" bottom="0.75" header="0.3" footer="0.3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7"/>
  <dimension ref="A1:U9"/>
  <sheetViews>
    <sheetView topLeftCell="D1" zoomScale="53" zoomScaleNormal="53" zoomScaleSheetLayoutView="70" workbookViewId="0">
      <selection activeCell="Q17" sqref="Q17"/>
    </sheetView>
  </sheetViews>
  <sheetFormatPr baseColWidth="10" defaultColWidth="11.44140625" defaultRowHeight="13.8" x14ac:dyDescent="0.25"/>
  <cols>
    <col min="1" max="1" width="5.44140625" style="1" customWidth="1"/>
    <col min="2" max="2" width="8.6640625" style="21" customWidth="1"/>
    <col min="3" max="3" width="12.21875" style="21" customWidth="1"/>
    <col min="4" max="4" width="10.77734375" style="21" customWidth="1"/>
    <col min="5" max="5" width="23.44140625" style="21" customWidth="1"/>
    <col min="6" max="6" width="18.77734375" style="21" customWidth="1"/>
    <col min="7" max="7" width="18.21875" style="21" customWidth="1"/>
    <col min="8" max="8" width="21.5546875" style="21" customWidth="1"/>
    <col min="9" max="9" width="32.21875" style="23" customWidth="1"/>
    <col min="10" max="10" width="16.5546875" style="23" customWidth="1"/>
    <col min="11" max="11" width="14.21875" style="22" customWidth="1"/>
    <col min="12" max="12" width="16.5546875" style="22" customWidth="1"/>
    <col min="13" max="13" width="23.77734375" style="22" customWidth="1"/>
    <col min="14" max="14" width="46.44140625" style="23" customWidth="1"/>
    <col min="15" max="15" width="26.77734375" style="23" customWidth="1"/>
    <col min="16" max="16" width="24" style="1" customWidth="1"/>
    <col min="17" max="17" width="17.44140625" style="1" customWidth="1"/>
    <col min="18" max="18" width="8" style="21" customWidth="1"/>
    <col min="19" max="19" width="17.21875" style="21" customWidth="1"/>
    <col min="20" max="20" width="10.21875" style="21" customWidth="1"/>
    <col min="21" max="21" width="13.5546875" style="1" customWidth="1"/>
    <col min="22" max="16384" width="11.44140625" style="1"/>
  </cols>
  <sheetData>
    <row r="1" spans="1:21" ht="76.95" customHeight="1" x14ac:dyDescent="0.5">
      <c r="A1" s="134"/>
      <c r="B1" s="135"/>
      <c r="C1" s="135"/>
      <c r="D1" s="136"/>
      <c r="E1" s="140" t="s">
        <v>133</v>
      </c>
      <c r="F1" s="141"/>
      <c r="G1" s="141"/>
      <c r="H1" s="141"/>
      <c r="I1" s="141"/>
      <c r="J1" s="141"/>
      <c r="K1" s="141"/>
      <c r="L1" s="141"/>
      <c r="M1" s="141"/>
      <c r="N1" s="141"/>
      <c r="O1" s="141"/>
      <c r="R1" s="1"/>
      <c r="S1" s="1"/>
      <c r="T1" s="1"/>
    </row>
    <row r="2" spans="1:21" ht="18.75" customHeight="1" x14ac:dyDescent="0.25">
      <c r="A2" s="2"/>
      <c r="B2" s="20"/>
      <c r="C2" s="20"/>
      <c r="D2" s="20"/>
      <c r="E2" s="20"/>
      <c r="F2" s="20"/>
      <c r="G2" s="20"/>
      <c r="H2" s="20"/>
      <c r="I2" s="19"/>
      <c r="J2" s="19"/>
      <c r="K2" s="20"/>
      <c r="L2" s="20"/>
      <c r="M2" s="20"/>
      <c r="N2" s="19"/>
      <c r="O2" s="19"/>
      <c r="P2" s="2"/>
      <c r="Q2" s="2"/>
      <c r="R2" s="20"/>
      <c r="S2" s="20"/>
      <c r="U2" s="20"/>
    </row>
    <row r="3" spans="1:21" ht="46.5" customHeight="1" x14ac:dyDescent="0.25">
      <c r="A3" s="2"/>
      <c r="B3" s="137" t="s">
        <v>12</v>
      </c>
      <c r="C3" s="138"/>
      <c r="D3" s="139"/>
      <c r="E3" s="20"/>
      <c r="F3" s="20"/>
      <c r="G3" s="65"/>
      <c r="H3" s="65"/>
      <c r="I3" s="65"/>
      <c r="J3" s="65"/>
      <c r="K3" s="65"/>
      <c r="L3" s="65"/>
      <c r="M3" s="65"/>
      <c r="N3" s="65"/>
      <c r="O3" s="65"/>
      <c r="P3" s="131" t="s">
        <v>62</v>
      </c>
      <c r="Q3" s="132"/>
      <c r="R3" s="131" t="s">
        <v>13</v>
      </c>
      <c r="S3" s="132"/>
      <c r="T3" s="133"/>
      <c r="U3" s="69"/>
    </row>
    <row r="4" spans="1:21" ht="118.05" customHeight="1" x14ac:dyDescent="0.25">
      <c r="A4" s="42" t="s">
        <v>14</v>
      </c>
      <c r="B4" s="42" t="s">
        <v>15</v>
      </c>
      <c r="C4" s="42" t="s">
        <v>16</v>
      </c>
      <c r="D4" s="42" t="s">
        <v>5</v>
      </c>
      <c r="E4" s="42" t="s">
        <v>18</v>
      </c>
      <c r="F4" s="42" t="s">
        <v>19</v>
      </c>
      <c r="G4" s="42" t="s">
        <v>17</v>
      </c>
      <c r="H4" s="42" t="s">
        <v>81</v>
      </c>
      <c r="I4" s="42" t="s">
        <v>20</v>
      </c>
      <c r="J4" s="42" t="s">
        <v>21</v>
      </c>
      <c r="K4" s="42" t="s">
        <v>22</v>
      </c>
      <c r="L4" s="42" t="s">
        <v>23</v>
      </c>
      <c r="M4" s="42" t="s">
        <v>57</v>
      </c>
      <c r="N4" s="42" t="s">
        <v>55</v>
      </c>
      <c r="O4" s="42" t="s">
        <v>56</v>
      </c>
      <c r="P4" s="42" t="s">
        <v>125</v>
      </c>
      <c r="Q4" s="42" t="s">
        <v>25</v>
      </c>
      <c r="R4" s="41" t="s">
        <v>26</v>
      </c>
      <c r="S4" s="41" t="s">
        <v>27</v>
      </c>
      <c r="T4" s="41" t="s">
        <v>28</v>
      </c>
      <c r="U4" s="41" t="s">
        <v>29</v>
      </c>
    </row>
    <row r="5" spans="1:21" ht="15.6" x14ac:dyDescent="0.25">
      <c r="A5" s="30">
        <v>1</v>
      </c>
      <c r="B5" s="26"/>
      <c r="C5" s="26"/>
      <c r="D5" s="26"/>
      <c r="E5" s="26"/>
      <c r="F5" s="26"/>
      <c r="G5" s="26" t="s">
        <v>88</v>
      </c>
      <c r="H5" s="26" t="s">
        <v>84</v>
      </c>
      <c r="I5" s="32"/>
      <c r="J5" s="26"/>
      <c r="K5" s="28"/>
      <c r="L5" s="29" t="s">
        <v>10</v>
      </c>
      <c r="M5" s="32" t="s">
        <v>103</v>
      </c>
      <c r="N5" s="32"/>
      <c r="O5" s="32"/>
      <c r="P5" s="27"/>
      <c r="Q5" s="27"/>
      <c r="R5" s="26"/>
      <c r="S5" s="26"/>
      <c r="T5" s="26"/>
      <c r="U5" s="31" t="s">
        <v>78</v>
      </c>
    </row>
    <row r="6" spans="1:21" ht="65.55" customHeight="1" x14ac:dyDescent="0.25">
      <c r="A6" s="30">
        <f>1+1</f>
        <v>2</v>
      </c>
      <c r="B6" s="26"/>
      <c r="C6" s="26"/>
      <c r="D6" s="26"/>
      <c r="E6" s="26"/>
      <c r="F6" s="26"/>
      <c r="G6" s="26" t="s">
        <v>88</v>
      </c>
      <c r="H6" s="26" t="s">
        <v>84</v>
      </c>
      <c r="I6" s="32"/>
      <c r="J6" s="26"/>
      <c r="K6" s="28"/>
      <c r="L6" s="29" t="s">
        <v>7</v>
      </c>
      <c r="M6" s="32" t="s">
        <v>104</v>
      </c>
      <c r="N6" s="32"/>
      <c r="O6" s="32"/>
      <c r="P6" s="27"/>
      <c r="Q6" s="27"/>
      <c r="R6" s="26"/>
      <c r="S6" s="26"/>
      <c r="T6" s="26"/>
      <c r="U6" s="31" t="s">
        <v>6</v>
      </c>
    </row>
    <row r="7" spans="1:21" ht="65.55" customHeight="1" x14ac:dyDescent="0.25">
      <c r="A7" s="30"/>
      <c r="B7" s="26"/>
      <c r="C7" s="26"/>
      <c r="D7" s="26"/>
      <c r="E7" s="26"/>
      <c r="F7" s="26"/>
      <c r="G7" s="26" t="s">
        <v>89</v>
      </c>
      <c r="H7" s="26" t="s">
        <v>85</v>
      </c>
      <c r="I7" s="32"/>
      <c r="J7" s="26"/>
      <c r="K7" s="28"/>
      <c r="L7" s="29" t="s">
        <v>7</v>
      </c>
      <c r="M7" s="32" t="s">
        <v>103</v>
      </c>
      <c r="N7" s="32"/>
      <c r="O7" s="32"/>
      <c r="P7" s="27"/>
      <c r="Q7" s="27"/>
      <c r="R7" s="26"/>
      <c r="S7" s="26"/>
      <c r="T7" s="26"/>
      <c r="U7" s="31" t="s">
        <v>79</v>
      </c>
    </row>
    <row r="8" spans="1:21" ht="15.6" x14ac:dyDescent="0.25">
      <c r="A8" s="30"/>
      <c r="B8" s="26"/>
      <c r="C8" s="26"/>
      <c r="D8" s="26"/>
      <c r="E8" s="26"/>
      <c r="F8" s="26"/>
      <c r="G8" s="26" t="s">
        <v>89</v>
      </c>
      <c r="H8" s="26" t="s">
        <v>85</v>
      </c>
      <c r="I8" s="32"/>
      <c r="J8" s="26"/>
      <c r="K8" s="28"/>
      <c r="L8" s="29" t="s">
        <v>7</v>
      </c>
      <c r="M8" s="32" t="s">
        <v>104</v>
      </c>
      <c r="N8" s="32"/>
      <c r="O8" s="32"/>
      <c r="P8" s="27"/>
      <c r="Q8" s="27"/>
      <c r="R8" s="26"/>
      <c r="S8" s="26"/>
      <c r="T8" s="26"/>
      <c r="U8" s="31" t="s">
        <v>79</v>
      </c>
    </row>
    <row r="9" spans="1:21" ht="15.6" x14ac:dyDescent="0.25">
      <c r="A9" s="30"/>
      <c r="B9" s="26"/>
      <c r="C9" s="26"/>
      <c r="D9" s="26"/>
      <c r="E9" s="26"/>
      <c r="F9" s="26"/>
      <c r="G9" s="26" t="s">
        <v>89</v>
      </c>
      <c r="H9" s="26" t="s">
        <v>86</v>
      </c>
      <c r="I9" s="32"/>
      <c r="J9" s="26"/>
      <c r="K9" s="28"/>
      <c r="L9" s="29" t="s">
        <v>8</v>
      </c>
      <c r="M9" s="32" t="s">
        <v>105</v>
      </c>
      <c r="N9" s="32"/>
      <c r="O9" s="32"/>
      <c r="P9" s="27"/>
      <c r="Q9" s="27"/>
      <c r="R9" s="26"/>
      <c r="S9" s="26"/>
      <c r="T9" s="26"/>
      <c r="U9" s="31" t="s">
        <v>79</v>
      </c>
    </row>
  </sheetData>
  <mergeCells count="5">
    <mergeCell ref="P3:Q3"/>
    <mergeCell ref="R3:T3"/>
    <mergeCell ref="A1:D1"/>
    <mergeCell ref="B3:D3"/>
    <mergeCell ref="E1:O1"/>
  </mergeCells>
  <conditionalFormatting sqref="L5:L9">
    <cfRule type="containsText" dxfId="12" priority="1" operator="containsText" text="BAJA">
      <formula>NOT(ISERROR(SEARCH("BAJA",L5)))</formula>
    </cfRule>
    <cfRule type="containsText" dxfId="11" priority="2" operator="containsText" text="MEDIA">
      <formula>NOT(ISERROR(SEARCH("MEDIA",L5)))</formula>
    </cfRule>
    <cfRule type="containsText" dxfId="10" priority="3" operator="containsText" text="ALTA">
      <formula>NOT(ISERROR(SEARCH("ALTA",L5)))</formula>
    </cfRule>
    <cfRule type="containsText" dxfId="9" priority="4" operator="containsText" text="ALTA">
      <formula>NOT(ISERROR(SEARCH("ALTA",L5)))</formula>
    </cfRule>
    <cfRule type="cellIs" dxfId="8" priority="5" operator="equal">
      <formula>"BAJA"</formula>
    </cfRule>
    <cfRule type="cellIs" dxfId="7" priority="6" operator="equal">
      <formula>"MEDIA"</formula>
    </cfRule>
    <cfRule type="cellIs" dxfId="6" priority="10" operator="equal">
      <formula>"ALTA"</formula>
    </cfRule>
  </conditionalFormatting>
  <conditionalFormatting sqref="U5:U9">
    <cfRule type="cellIs" dxfId="5" priority="11" operator="equal">
      <formula>"ABIERTO"</formula>
    </cfRule>
    <cfRule type="cellIs" dxfId="4" priority="12" operator="equal">
      <formula>"EN PROCESO"</formula>
    </cfRule>
    <cfRule type="cellIs" dxfId="3" priority="13" operator="equal">
      <formula>"NO VIABLE"</formula>
    </cfRule>
    <cfRule type="cellIs" dxfId="2" priority="10457" operator="equal">
      <formula>"CERRADO"</formula>
    </cfRule>
    <cfRule type="cellIs" dxfId="1" priority="10458" operator="equal">
      <formula>"EMPRESA DESAFILIADA"</formula>
    </cfRule>
  </conditionalFormatting>
  <dataValidations count="5">
    <dataValidation type="list" allowBlank="1" showInputMessage="1" showErrorMessage="1" sqref="H7:H9" xr:uid="{00000000-0002-0000-0100-000000000000}">
      <mc:AlternateContent xmlns:x12ac="http://schemas.microsoft.com/office/spreadsheetml/2011/1/ac" xmlns:mc="http://schemas.openxmlformats.org/markup-compatibility/2006">
        <mc:Choice Requires="x12ac">
          <x12ac:list>Biológico, Físico, Químico, Psicosocial, Biomecánico, Mecánico, Eléctrico, Locativo," Tecnológico (explosión, fuga, derrame, incendio)", Accidente de tránsito, Público, Trabajo en alturas, Espacios confinados</x12ac:list>
        </mc:Choice>
        <mc:Fallback>
          <formula1>"Biológico, Físico, Químico, Psicosocial, Biomecánico, Mecánico, Eléctrico, Locativo, Tecnológico (explosión, fuga, derrame, incendio), Accidente de tránsito, Público, Trabajo en alturas, Espacios confinados"</formula1>
        </mc:Fallback>
      </mc:AlternateContent>
    </dataValidation>
    <dataValidation type="list" allowBlank="1" showInputMessage="1" showErrorMessage="1" sqref="L5:L9" xr:uid="{00000000-0002-0000-0100-000001000000}">
      <formula1>"ALTA,MEDIA,BAJA"</formula1>
    </dataValidation>
    <dataValidation type="list" allowBlank="1" showInputMessage="1" showErrorMessage="1" sqref="H5:H6" xr:uid="{00000000-0002-0000-0100-000002000000}">
      <mc:AlternateContent xmlns:x12ac="http://schemas.microsoft.com/office/spreadsheetml/2011/1/ac" xmlns:mc="http://schemas.openxmlformats.org/markup-compatibility/2006">
        <mc:Choice Requires="x12ac">
          <x12ac:list>Biológico, Físico, Químico, Psicosocial, Biomecánico, Mecánico, Eléctrico, Locativo," Tecnológico (explosión, fuga, derrame, incendio)", Accidente de tránsito, Público, Trabajo en alturas, Espacios confinados, * Alerta de Seguridad</x12ac:list>
        </mc:Choice>
        <mc:Fallback>
          <formula1>"Biológico, Físico, Químico, Psicosocial, Biomecánico, Mecánico, Eléctrico, Locativo, Tecnológico (explosión, fuga, derrame, incendio), Accidente de tránsito, Público, Trabajo en alturas, Espacios confinados, * Alerta de Seguridad"</formula1>
        </mc:Fallback>
      </mc:AlternateContent>
    </dataValidation>
    <dataValidation type="list" allowBlank="1" showInputMessage="1" showErrorMessage="1" sqref="U5:U9" xr:uid="{00000000-0002-0000-0100-000003000000}">
      <formula1>"ABIERTO,EN PROCESO,CERRADO,NO VIABLE,EMPRESA DESAFILIADA"</formula1>
    </dataValidation>
    <dataValidation type="list" allowBlank="1" showInputMessage="1" showErrorMessage="1" sqref="M5:M9" xr:uid="{00000000-0002-0000-0100-000004000000}">
      <formula1>"Fuente, Medio, Trabajador"</formula1>
    </dataValidation>
  </dataValidations>
  <pageMargins left="0.86614173228346458" right="0.31496062992125984" top="0.35433070866141736" bottom="0.35433070866141736" header="0.31496062992125984" footer="0.31496062992125984"/>
  <pageSetup paperSize="9" scale="39" orientation="landscape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B1:BQ208"/>
  <sheetViews>
    <sheetView view="pageBreakPreview" zoomScale="55" zoomScaleNormal="50" zoomScaleSheetLayoutView="55" workbookViewId="0">
      <selection activeCell="AC11" sqref="AC11"/>
    </sheetView>
  </sheetViews>
  <sheetFormatPr baseColWidth="10" defaultColWidth="11.44140625" defaultRowHeight="13.8" x14ac:dyDescent="0.25"/>
  <cols>
    <col min="1" max="1" width="2.77734375" style="1" customWidth="1"/>
    <col min="2" max="4" width="11.77734375" style="1" customWidth="1"/>
    <col min="5" max="5" width="10" style="1" customWidth="1"/>
    <col min="6" max="28" width="6.44140625" style="1" customWidth="1"/>
    <col min="29" max="29" width="73.44140625" style="1" customWidth="1"/>
    <col min="30" max="30" width="18" style="1" hidden="1" customWidth="1"/>
    <col min="31" max="31" width="17.21875" style="1" hidden="1" customWidth="1"/>
    <col min="32" max="32" width="4.77734375" style="1" hidden="1" customWidth="1"/>
    <col min="33" max="33" width="6.21875" style="1" hidden="1" customWidth="1"/>
    <col min="34" max="37" width="17.21875" style="1" hidden="1" customWidth="1"/>
    <col min="38" max="39" width="7.5546875" style="1" hidden="1" customWidth="1"/>
    <col min="40" max="42" width="3" style="1" hidden="1" customWidth="1"/>
    <col min="43" max="43" width="27" style="1" hidden="1" customWidth="1"/>
    <col min="44" max="46" width="13.21875" style="1" hidden="1" customWidth="1"/>
    <col min="47" max="50" width="3" style="1" hidden="1" customWidth="1"/>
    <col min="51" max="51" width="21.77734375" style="1" hidden="1" customWidth="1"/>
    <col min="52" max="52" width="22.5546875" style="1" hidden="1" customWidth="1"/>
    <col min="53" max="53" width="11.44140625" style="1" hidden="1" customWidth="1"/>
    <col min="54" max="54" width="11.5546875" style="1" hidden="1" customWidth="1"/>
    <col min="55" max="55" width="10.5546875" style="1" hidden="1" customWidth="1"/>
    <col min="56" max="59" width="10.21875" style="1" hidden="1" customWidth="1"/>
    <col min="60" max="60" width="18" style="1" hidden="1" customWidth="1"/>
    <col min="61" max="61" width="22.5546875" style="1" hidden="1" customWidth="1"/>
    <col min="62" max="62" width="11.44140625" style="1" hidden="1" customWidth="1"/>
    <col min="63" max="63" width="11.5546875" style="1" hidden="1" customWidth="1"/>
    <col min="64" max="64" width="13.5546875" style="1" hidden="1" customWidth="1"/>
    <col min="65" max="65" width="20.21875" style="1" hidden="1" customWidth="1"/>
    <col min="66" max="66" width="11.77734375" style="1" hidden="1" customWidth="1"/>
    <col min="67" max="67" width="18.5546875" style="1" hidden="1" customWidth="1"/>
    <col min="68" max="68" width="23.6640625" style="1" customWidth="1"/>
    <col min="69" max="69" width="18.5546875" style="1" bestFit="1" customWidth="1"/>
    <col min="70" max="70" width="12.77734375" style="1" bestFit="1" customWidth="1"/>
    <col min="71" max="71" width="17.77734375" style="1" bestFit="1" customWidth="1"/>
    <col min="72" max="72" width="11.44140625" style="1"/>
    <col min="73" max="73" width="12.77734375" style="1" bestFit="1" customWidth="1"/>
    <col min="74" max="74" width="14.77734375" style="1" bestFit="1" customWidth="1"/>
    <col min="75" max="75" width="13.77734375" style="1" bestFit="1" customWidth="1"/>
    <col min="76" max="76" width="17.44140625" style="1" bestFit="1" customWidth="1"/>
    <col min="77" max="77" width="12.77734375" style="1" bestFit="1" customWidth="1"/>
    <col min="78" max="16384" width="11.44140625" style="1"/>
  </cols>
  <sheetData>
    <row r="1" spans="2:68" ht="74.25" customHeight="1" x14ac:dyDescent="0.25">
      <c r="B1" s="145" t="s">
        <v>92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7"/>
      <c r="T1" s="148"/>
      <c r="U1" s="149"/>
      <c r="V1" s="149"/>
      <c r="W1" s="149"/>
      <c r="X1" s="149"/>
      <c r="Y1" s="149"/>
      <c r="Z1" s="149"/>
      <c r="AA1" s="149"/>
      <c r="AB1" s="150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2:68" ht="10.050000000000001" customHeight="1" x14ac:dyDescent="0.25"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2:68" ht="33" customHeight="1" x14ac:dyDescent="0.25">
      <c r="B3" s="154" t="s">
        <v>0</v>
      </c>
      <c r="C3" s="155"/>
      <c r="D3" s="156"/>
      <c r="E3" s="151" t="s">
        <v>54</v>
      </c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3"/>
      <c r="AC3" s="142" t="s">
        <v>132</v>
      </c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3"/>
      <c r="AX3" s="143"/>
      <c r="AY3" s="143"/>
      <c r="AZ3" s="143"/>
      <c r="BA3" s="143"/>
      <c r="BB3" s="143"/>
      <c r="BC3" s="143"/>
      <c r="BD3" s="143"/>
      <c r="BE3" s="143"/>
      <c r="BF3" s="143"/>
      <c r="BG3" s="143"/>
      <c r="BH3" s="143"/>
      <c r="BI3" s="143"/>
      <c r="BJ3" s="143"/>
      <c r="BK3" s="143"/>
      <c r="BL3" s="143"/>
      <c r="BM3" s="143"/>
      <c r="BN3" s="143"/>
      <c r="BO3" s="143"/>
      <c r="BP3" s="143"/>
    </row>
    <row r="4" spans="2:68" ht="18" customHeight="1" x14ac:dyDescent="0.3">
      <c r="B4" s="157" t="s">
        <v>87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  <c r="AA4" s="158"/>
      <c r="AB4" s="159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/>
      <c r="AR4"/>
      <c r="AS4"/>
      <c r="AT4"/>
      <c r="AU4"/>
      <c r="AV4"/>
      <c r="AW4"/>
      <c r="AX4"/>
    </row>
    <row r="5" spans="2:68" ht="18" customHeight="1" x14ac:dyDescent="0.3">
      <c r="B5" s="160"/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161"/>
      <c r="AB5" s="162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/>
      <c r="AR5"/>
      <c r="AS5"/>
      <c r="AT5"/>
      <c r="AU5"/>
      <c r="AV5"/>
      <c r="AW5"/>
      <c r="AX5"/>
    </row>
    <row r="6" spans="2:68" ht="14.4" x14ac:dyDescent="0.3">
      <c r="B6" s="58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59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/>
      <c r="AR6"/>
      <c r="AS6"/>
      <c r="AT6"/>
      <c r="AU6"/>
      <c r="AV6"/>
      <c r="AW6"/>
      <c r="AX6"/>
    </row>
    <row r="7" spans="2:68" ht="14.4" x14ac:dyDescent="0.3">
      <c r="B7" s="58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59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/>
      <c r="AR7"/>
      <c r="AS7"/>
      <c r="AT7"/>
      <c r="AU7"/>
      <c r="AV7"/>
      <c r="AW7"/>
      <c r="AX7"/>
    </row>
    <row r="8" spans="2:68" ht="14.4" x14ac:dyDescent="0.3">
      <c r="B8" s="58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59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/>
      <c r="AR8"/>
      <c r="AS8"/>
      <c r="AT8"/>
      <c r="AU8"/>
      <c r="AV8"/>
      <c r="AW8"/>
      <c r="AX8"/>
    </row>
    <row r="9" spans="2:68" ht="14.4" x14ac:dyDescent="0.3">
      <c r="B9" s="58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59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/>
      <c r="AR9"/>
      <c r="AS9"/>
      <c r="AT9"/>
      <c r="AU9"/>
      <c r="AV9"/>
      <c r="AW9"/>
      <c r="AX9"/>
    </row>
    <row r="10" spans="2:68" ht="14.4" x14ac:dyDescent="0.3">
      <c r="B10" s="58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59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/>
      <c r="AR10"/>
      <c r="AS10"/>
      <c r="AT10"/>
      <c r="AU10"/>
      <c r="AV10"/>
      <c r="AW10"/>
      <c r="AX10"/>
    </row>
    <row r="11" spans="2:68" ht="14.4" x14ac:dyDescent="0.3">
      <c r="B11" s="58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59"/>
      <c r="AC11" s="4"/>
      <c r="AD11" s="17" t="s">
        <v>1</v>
      </c>
      <c r="AE11" t="s">
        <v>2</v>
      </c>
      <c r="AF11"/>
      <c r="AG11"/>
      <c r="AH11" s="17" t="s">
        <v>2</v>
      </c>
      <c r="AI11" s="17" t="s">
        <v>3</v>
      </c>
      <c r="AJ11"/>
      <c r="AK11"/>
      <c r="AL11"/>
      <c r="AM11"/>
      <c r="AN11"/>
      <c r="AO11"/>
      <c r="AP11"/>
      <c r="AQ11" s="17" t="s">
        <v>4</v>
      </c>
      <c r="AR11" s="17" t="s">
        <v>3</v>
      </c>
      <c r="AS11"/>
      <c r="AT11"/>
      <c r="AU11"/>
      <c r="AV11"/>
      <c r="AW11"/>
      <c r="AX11"/>
      <c r="AY11" s="17" t="s">
        <v>2</v>
      </c>
      <c r="AZ11" s="17" t="s">
        <v>3</v>
      </c>
      <c r="BA11"/>
      <c r="BB11"/>
      <c r="BC11"/>
      <c r="BD11"/>
      <c r="BE11"/>
      <c r="BF11"/>
      <c r="BG11"/>
      <c r="BH11" s="17" t="s">
        <v>5</v>
      </c>
      <c r="BI11" t="s">
        <v>83</v>
      </c>
    </row>
    <row r="12" spans="2:68" ht="18.45" customHeight="1" x14ac:dyDescent="0.3">
      <c r="B12" s="58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59"/>
      <c r="AC12" s="4"/>
      <c r="AD12" s="18" t="s">
        <v>6</v>
      </c>
      <c r="AE12">
        <v>1</v>
      </c>
      <c r="AF12"/>
      <c r="AG12"/>
      <c r="AH12" s="17" t="s">
        <v>1</v>
      </c>
      <c r="AI12" t="s">
        <v>6</v>
      </c>
      <c r="AJ12" t="s">
        <v>78</v>
      </c>
      <c r="AK12" t="s">
        <v>79</v>
      </c>
      <c r="AL12"/>
      <c r="AM12"/>
      <c r="AN12"/>
      <c r="AO12"/>
      <c r="AP12"/>
      <c r="AQ12" s="17" t="s">
        <v>1</v>
      </c>
      <c r="AR12" t="s">
        <v>6</v>
      </c>
      <c r="AS12" t="s">
        <v>78</v>
      </c>
      <c r="AT12" t="s">
        <v>79</v>
      </c>
      <c r="AU12"/>
      <c r="AV12"/>
      <c r="AW12"/>
      <c r="AX12"/>
      <c r="AY12" s="17" t="s">
        <v>1</v>
      </c>
      <c r="AZ12" t="s">
        <v>6</v>
      </c>
      <c r="BA12" t="s">
        <v>78</v>
      </c>
      <c r="BB12" t="s">
        <v>79</v>
      </c>
      <c r="BC12"/>
      <c r="BD12"/>
      <c r="BE12"/>
      <c r="BF12"/>
      <c r="BG12"/>
    </row>
    <row r="13" spans="2:68" ht="18.45" customHeight="1" x14ac:dyDescent="0.3">
      <c r="B13" s="58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59"/>
      <c r="AC13" s="4"/>
      <c r="AD13" s="18" t="s">
        <v>78</v>
      </c>
      <c r="AE13">
        <v>1</v>
      </c>
      <c r="AF13"/>
      <c r="AG13"/>
      <c r="AH13" s="18" t="s">
        <v>7</v>
      </c>
      <c r="AI13" s="33">
        <v>0.33333333333333331</v>
      </c>
      <c r="AJ13" s="33">
        <v>0</v>
      </c>
      <c r="AK13" s="33">
        <v>0.66666666666666663</v>
      </c>
      <c r="AL13"/>
      <c r="AM13"/>
      <c r="AN13" s="33"/>
      <c r="AO13" s="33"/>
      <c r="AP13" s="33"/>
      <c r="AQ13" s="18" t="s">
        <v>7</v>
      </c>
      <c r="AR13">
        <v>1</v>
      </c>
      <c r="AS13"/>
      <c r="AT13">
        <v>2</v>
      </c>
      <c r="AU13"/>
      <c r="AV13"/>
      <c r="AW13"/>
      <c r="AX13"/>
      <c r="AY13" s="18" t="s">
        <v>7</v>
      </c>
      <c r="AZ13">
        <v>1</v>
      </c>
      <c r="BA13"/>
      <c r="BB13">
        <v>2</v>
      </c>
      <c r="BC13"/>
      <c r="BD13"/>
      <c r="BE13"/>
      <c r="BF13"/>
      <c r="BG13"/>
      <c r="BH13" s="17" t="s">
        <v>2</v>
      </c>
      <c r="BI13" s="17" t="s">
        <v>3</v>
      </c>
      <c r="BJ13"/>
      <c r="BK13"/>
      <c r="BL13"/>
      <c r="BM13"/>
      <c r="BN13"/>
    </row>
    <row r="14" spans="2:68" ht="14.4" x14ac:dyDescent="0.3">
      <c r="B14" s="58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59"/>
      <c r="AC14" s="6"/>
      <c r="AD14" s="18" t="s">
        <v>79</v>
      </c>
      <c r="AE14">
        <v>3</v>
      </c>
      <c r="AF14"/>
      <c r="AG14"/>
      <c r="AH14" s="18" t="s">
        <v>8</v>
      </c>
      <c r="AI14" s="33">
        <v>0</v>
      </c>
      <c r="AJ14" s="33">
        <v>0</v>
      </c>
      <c r="AK14" s="33">
        <v>1</v>
      </c>
      <c r="AL14"/>
      <c r="AM14"/>
      <c r="AN14" s="33"/>
      <c r="AO14" s="33"/>
      <c r="AP14" s="33"/>
      <c r="AQ14" s="18" t="s">
        <v>8</v>
      </c>
      <c r="AR14"/>
      <c r="AS14"/>
      <c r="AT14">
        <v>1</v>
      </c>
      <c r="AU14"/>
      <c r="AV14"/>
      <c r="AW14"/>
      <c r="AX14"/>
      <c r="AY14" s="18" t="s">
        <v>8</v>
      </c>
      <c r="AZ14"/>
      <c r="BA14"/>
      <c r="BB14">
        <v>1</v>
      </c>
      <c r="BC14"/>
      <c r="BD14"/>
      <c r="BE14"/>
      <c r="BF14"/>
      <c r="BG14"/>
      <c r="BH14" s="17" t="s">
        <v>1</v>
      </c>
      <c r="BI14" t="s">
        <v>6</v>
      </c>
      <c r="BJ14" t="s">
        <v>78</v>
      </c>
      <c r="BK14" t="s">
        <v>79</v>
      </c>
      <c r="BL14" t="s">
        <v>9</v>
      </c>
      <c r="BM14"/>
      <c r="BN14"/>
    </row>
    <row r="15" spans="2:68" ht="14.4" x14ac:dyDescent="0.3">
      <c r="B15" s="58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59"/>
      <c r="AC15" s="6"/>
      <c r="AD15"/>
      <c r="AE15"/>
      <c r="AF15"/>
      <c r="AG15"/>
      <c r="AH15" s="18" t="s">
        <v>10</v>
      </c>
      <c r="AI15" s="33">
        <v>0</v>
      </c>
      <c r="AJ15" s="33">
        <v>1</v>
      </c>
      <c r="AK15" s="33">
        <v>0</v>
      </c>
      <c r="AL15"/>
      <c r="AM15"/>
      <c r="AN15" s="33"/>
      <c r="AO15" s="33"/>
      <c r="AP15" s="33"/>
      <c r="AQ15" s="18" t="s">
        <v>10</v>
      </c>
      <c r="AR15"/>
      <c r="AS15">
        <v>1</v>
      </c>
      <c r="AT15"/>
      <c r="AU15"/>
      <c r="AV15"/>
      <c r="AW15"/>
      <c r="AX15"/>
      <c r="AY15" s="18" t="s">
        <v>10</v>
      </c>
      <c r="AZ15"/>
      <c r="BA15">
        <v>1</v>
      </c>
      <c r="BB15"/>
      <c r="BC15"/>
      <c r="BD15"/>
      <c r="BE15"/>
      <c r="BF15"/>
      <c r="BG15"/>
      <c r="BH15" s="18" t="s">
        <v>88</v>
      </c>
      <c r="BI15">
        <v>1</v>
      </c>
      <c r="BJ15">
        <v>1</v>
      </c>
      <c r="BK15"/>
      <c r="BL15">
        <v>2</v>
      </c>
      <c r="BM15"/>
      <c r="BN15"/>
    </row>
    <row r="16" spans="2:68" ht="18" customHeight="1" x14ac:dyDescent="0.3">
      <c r="B16" s="58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59"/>
      <c r="AC16" s="6"/>
      <c r="AD16"/>
      <c r="AE1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 s="18" t="s">
        <v>89</v>
      </c>
      <c r="BI16"/>
      <c r="BJ16"/>
      <c r="BK16">
        <v>3</v>
      </c>
      <c r="BL16">
        <v>3</v>
      </c>
      <c r="BM16"/>
      <c r="BN16"/>
    </row>
    <row r="17" spans="2:66" ht="18" customHeight="1" x14ac:dyDescent="0.3">
      <c r="B17" s="58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59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 s="18" t="s">
        <v>9</v>
      </c>
      <c r="BI17">
        <v>1</v>
      </c>
      <c r="BJ17">
        <v>1</v>
      </c>
      <c r="BK17">
        <v>3</v>
      </c>
      <c r="BL17">
        <v>5</v>
      </c>
      <c r="BM17"/>
      <c r="BN17"/>
    </row>
    <row r="18" spans="2:66" ht="18" customHeight="1" x14ac:dyDescent="0.3">
      <c r="B18" s="58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59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N18"/>
    </row>
    <row r="19" spans="2:66" ht="18" customHeight="1" x14ac:dyDescent="0.3">
      <c r="B19" s="58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59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U19"/>
      <c r="AV19"/>
      <c r="AW19"/>
      <c r="AX19"/>
      <c r="AY19"/>
      <c r="AZ19"/>
      <c r="BA19"/>
      <c r="BB19"/>
      <c r="BD19"/>
      <c r="BE19"/>
      <c r="BF19"/>
      <c r="BG19"/>
      <c r="BH19"/>
      <c r="BI19"/>
      <c r="BJ19"/>
      <c r="BK19"/>
      <c r="BL19"/>
      <c r="BM19"/>
      <c r="BN19"/>
    </row>
    <row r="20" spans="2:66" ht="14.4" x14ac:dyDescent="0.3">
      <c r="B20" s="58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59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U20"/>
      <c r="AV20"/>
      <c r="AW20"/>
      <c r="AX20"/>
      <c r="BD20"/>
      <c r="BE20"/>
      <c r="BF20"/>
      <c r="BG20"/>
      <c r="BH20"/>
      <c r="BI20"/>
      <c r="BJ20"/>
      <c r="BK20"/>
    </row>
    <row r="21" spans="2:66" ht="14.4" x14ac:dyDescent="0.3">
      <c r="B21" s="58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59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U21"/>
      <c r="AV21"/>
      <c r="AW21"/>
      <c r="AX21"/>
      <c r="BD21"/>
      <c r="BE21"/>
      <c r="BF21"/>
      <c r="BG21"/>
      <c r="BH21"/>
      <c r="BI21"/>
      <c r="BJ21"/>
      <c r="BK21"/>
    </row>
    <row r="22" spans="2:66" ht="19.95" customHeight="1" x14ac:dyDescent="0.3">
      <c r="B22" s="58"/>
      <c r="C22" s="167" t="s">
        <v>82</v>
      </c>
      <c r="D22" s="167"/>
      <c r="E22" s="166">
        <f>+'Metodología y Marco Teórico'!AE11</f>
        <v>5</v>
      </c>
      <c r="F22" s="166"/>
      <c r="G22" s="166"/>
      <c r="H22" s="166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59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/>
      <c r="AR22"/>
      <c r="AS22"/>
      <c r="AT22"/>
      <c r="AU22"/>
      <c r="AV22"/>
      <c r="AW22"/>
      <c r="AX22"/>
      <c r="BD22"/>
      <c r="BE22"/>
      <c r="BF22"/>
      <c r="BG22"/>
      <c r="BH22"/>
      <c r="BI22"/>
      <c r="BJ22"/>
      <c r="BK22"/>
    </row>
    <row r="23" spans="2:66" ht="18" customHeight="1" x14ac:dyDescent="0.3">
      <c r="B23" s="58"/>
      <c r="C23" s="167"/>
      <c r="D23" s="167"/>
      <c r="E23" s="166"/>
      <c r="F23" s="166"/>
      <c r="G23" s="166"/>
      <c r="H23" s="166"/>
      <c r="I23" s="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59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/>
      <c r="AR23"/>
      <c r="AS23"/>
      <c r="AT23"/>
      <c r="AU23"/>
      <c r="AV23"/>
      <c r="AW23"/>
      <c r="AX23"/>
      <c r="BD23"/>
      <c r="BE23"/>
      <c r="BF23"/>
      <c r="BG23"/>
      <c r="BH23"/>
      <c r="BI23"/>
      <c r="BJ23"/>
      <c r="BK23"/>
    </row>
    <row r="24" spans="2:66" ht="14.4" x14ac:dyDescent="0.3">
      <c r="B24" s="60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2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</row>
    <row r="25" spans="2:66" ht="14.4" x14ac:dyDescent="0.3">
      <c r="B25" s="157" t="s">
        <v>106</v>
      </c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158"/>
      <c r="Z25" s="158"/>
      <c r="AA25" s="158"/>
      <c r="AB25" s="159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</row>
    <row r="26" spans="2:66" ht="14.4" x14ac:dyDescent="0.3">
      <c r="B26" s="163"/>
      <c r="C26" s="164"/>
      <c r="D26" s="164"/>
      <c r="E26" s="164"/>
      <c r="F26" s="164"/>
      <c r="G26" s="164"/>
      <c r="H26" s="164"/>
      <c r="I26" s="164"/>
      <c r="J26" s="164"/>
      <c r="K26" s="164"/>
      <c r="L26" s="164"/>
      <c r="M26" s="164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4"/>
      <c r="Z26" s="164"/>
      <c r="AA26" s="164"/>
      <c r="AB26" s="165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</row>
    <row r="27" spans="2:66" ht="14.4" x14ac:dyDescent="0.3">
      <c r="B27" s="55"/>
      <c r="C27" s="56"/>
      <c r="D27" s="56"/>
      <c r="E27" s="56"/>
      <c r="F27" s="56"/>
      <c r="G27" s="56"/>
      <c r="H27" s="56"/>
      <c r="I27" s="57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59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</row>
    <row r="28" spans="2:66" ht="14.4" x14ac:dyDescent="0.3">
      <c r="B28" s="58"/>
      <c r="C28" s="63"/>
      <c r="D28" s="63"/>
      <c r="E28" s="63"/>
      <c r="F28" s="63"/>
      <c r="G28" s="63"/>
      <c r="H28" s="63"/>
      <c r="I28" s="59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59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</row>
    <row r="29" spans="2:66" ht="14.4" x14ac:dyDescent="0.3">
      <c r="B29" s="58"/>
      <c r="C29" s="63"/>
      <c r="D29" s="63"/>
      <c r="E29" s="63"/>
      <c r="F29" s="63"/>
      <c r="G29" s="63"/>
      <c r="H29" s="63"/>
      <c r="I29" s="59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59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</row>
    <row r="30" spans="2:66" ht="14.4" x14ac:dyDescent="0.3">
      <c r="B30" s="58"/>
      <c r="C30" s="63"/>
      <c r="D30" s="63"/>
      <c r="E30" s="63"/>
      <c r="F30" s="63"/>
      <c r="G30" s="63"/>
      <c r="H30" s="63"/>
      <c r="I30" s="59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59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</row>
    <row r="31" spans="2:66" ht="14.4" x14ac:dyDescent="0.3">
      <c r="B31" s="58"/>
      <c r="C31" s="63"/>
      <c r="D31" s="63"/>
      <c r="E31" s="63"/>
      <c r="F31" s="63"/>
      <c r="G31" s="63"/>
      <c r="H31" s="63"/>
      <c r="I31" s="59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59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/>
      <c r="AR31"/>
      <c r="AS31"/>
      <c r="AT31"/>
      <c r="AU31"/>
      <c r="AV31"/>
      <c r="AW31"/>
      <c r="AX31"/>
    </row>
    <row r="32" spans="2:66" ht="14.4" x14ac:dyDescent="0.3">
      <c r="B32" s="58"/>
      <c r="C32" s="63"/>
      <c r="D32" s="63"/>
      <c r="E32" s="63"/>
      <c r="F32" s="63"/>
      <c r="G32" s="63"/>
      <c r="H32" s="63"/>
      <c r="I32" s="59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59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/>
      <c r="AR32"/>
      <c r="AS32"/>
      <c r="AT32"/>
      <c r="AU32"/>
      <c r="AV32"/>
      <c r="AW32"/>
      <c r="AX32"/>
    </row>
    <row r="33" spans="2:50" ht="14.4" x14ac:dyDescent="0.3">
      <c r="B33" s="58"/>
      <c r="C33" s="63"/>
      <c r="D33" s="63"/>
      <c r="E33" s="63"/>
      <c r="F33" s="63"/>
      <c r="G33" s="63"/>
      <c r="H33" s="63"/>
      <c r="I33" s="59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59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/>
      <c r="AR33"/>
      <c r="AS33"/>
      <c r="AT33"/>
      <c r="AU33"/>
      <c r="AV33"/>
      <c r="AW33"/>
      <c r="AX33"/>
    </row>
    <row r="34" spans="2:50" ht="14.4" x14ac:dyDescent="0.3">
      <c r="B34" s="58"/>
      <c r="C34" s="63"/>
      <c r="D34" s="63"/>
      <c r="E34" s="63"/>
      <c r="F34" s="63"/>
      <c r="G34" s="63"/>
      <c r="H34" s="63"/>
      <c r="I34" s="59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59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/>
      <c r="AR34"/>
      <c r="AS34"/>
      <c r="AT34"/>
      <c r="AU34"/>
      <c r="AV34"/>
      <c r="AW34"/>
      <c r="AX34"/>
    </row>
    <row r="35" spans="2:50" ht="14.4" x14ac:dyDescent="0.3">
      <c r="B35" s="58"/>
      <c r="C35" s="63"/>
      <c r="D35" s="63"/>
      <c r="E35" s="63"/>
      <c r="F35" s="63"/>
      <c r="G35" s="63"/>
      <c r="H35" s="63"/>
      <c r="I35" s="59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59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18"/>
      <c r="AR35"/>
      <c r="AS35"/>
      <c r="AT35"/>
      <c r="AU35"/>
      <c r="AV35"/>
      <c r="AW35"/>
      <c r="AX35"/>
    </row>
    <row r="36" spans="2:50" ht="14.4" x14ac:dyDescent="0.3">
      <c r="B36" s="58"/>
      <c r="C36" s="63"/>
      <c r="D36" s="63"/>
      <c r="E36" s="63"/>
      <c r="F36" s="63"/>
      <c r="G36" s="63"/>
      <c r="H36" s="63"/>
      <c r="I36" s="59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59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18"/>
      <c r="AR36"/>
      <c r="AS36"/>
      <c r="AT36"/>
      <c r="AU36"/>
      <c r="AV36"/>
      <c r="AW36"/>
      <c r="AX36"/>
    </row>
    <row r="37" spans="2:50" ht="14.4" x14ac:dyDescent="0.3">
      <c r="B37" s="58"/>
      <c r="C37" s="63"/>
      <c r="D37" s="63"/>
      <c r="E37" s="63"/>
      <c r="F37" s="63"/>
      <c r="G37" s="63"/>
      <c r="H37" s="63"/>
      <c r="I37" s="59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59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18"/>
      <c r="AR37"/>
      <c r="AS37"/>
      <c r="AT37"/>
      <c r="AU37"/>
      <c r="AV37"/>
      <c r="AW37"/>
      <c r="AX37"/>
    </row>
    <row r="38" spans="2:50" ht="14.4" x14ac:dyDescent="0.3">
      <c r="B38" s="58"/>
      <c r="C38" s="63"/>
      <c r="D38" s="63"/>
      <c r="E38" s="63"/>
      <c r="F38" s="63"/>
      <c r="G38" s="63"/>
      <c r="H38" s="63"/>
      <c r="I38" s="59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59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18"/>
      <c r="AR38"/>
      <c r="AS38"/>
      <c r="AT38"/>
      <c r="AU38"/>
      <c r="AV38"/>
      <c r="AW38"/>
      <c r="AX38"/>
    </row>
    <row r="39" spans="2:50" ht="14.4" x14ac:dyDescent="0.3">
      <c r="B39" s="58"/>
      <c r="C39" s="63"/>
      <c r="D39" s="63"/>
      <c r="E39" s="63"/>
      <c r="F39" s="63"/>
      <c r="G39" s="63"/>
      <c r="H39" s="63"/>
      <c r="I39" s="59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59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18"/>
      <c r="AR39"/>
      <c r="AS39"/>
      <c r="AT39"/>
      <c r="AU39"/>
      <c r="AV39"/>
      <c r="AW39"/>
      <c r="AX39"/>
    </row>
    <row r="40" spans="2:50" ht="14.4" x14ac:dyDescent="0.3">
      <c r="B40" s="58"/>
      <c r="C40" s="63"/>
      <c r="D40" s="63"/>
      <c r="E40" s="63"/>
      <c r="F40" s="63"/>
      <c r="G40" s="63"/>
      <c r="H40" s="63"/>
      <c r="I40" s="59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59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18"/>
      <c r="AR40"/>
      <c r="AS40"/>
      <c r="AT40"/>
      <c r="AU40"/>
      <c r="AV40"/>
      <c r="AW40"/>
      <c r="AX40"/>
    </row>
    <row r="41" spans="2:50" ht="14.4" x14ac:dyDescent="0.3">
      <c r="B41" s="58"/>
      <c r="C41" s="63"/>
      <c r="D41" s="63"/>
      <c r="E41" s="63"/>
      <c r="F41" s="63"/>
      <c r="G41" s="63"/>
      <c r="H41" s="63"/>
      <c r="I41" s="59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59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18"/>
      <c r="AR41"/>
      <c r="AS41"/>
      <c r="AT41"/>
      <c r="AU41"/>
      <c r="AV41"/>
      <c r="AW41"/>
      <c r="AX41"/>
    </row>
    <row r="42" spans="2:50" ht="14.4" x14ac:dyDescent="0.3">
      <c r="B42" s="58"/>
      <c r="C42" s="63"/>
      <c r="D42" s="63"/>
      <c r="E42" s="63"/>
      <c r="F42" s="63"/>
      <c r="G42" s="63"/>
      <c r="H42" s="63"/>
      <c r="I42" s="59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59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18"/>
      <c r="AR42"/>
      <c r="AS42"/>
      <c r="AT42"/>
      <c r="AU42"/>
      <c r="AV42"/>
      <c r="AW42"/>
      <c r="AX42"/>
    </row>
    <row r="43" spans="2:50" ht="14.4" x14ac:dyDescent="0.3">
      <c r="B43" s="58"/>
      <c r="C43" s="63"/>
      <c r="D43" s="63"/>
      <c r="E43" s="63"/>
      <c r="F43" s="63"/>
      <c r="G43" s="63"/>
      <c r="H43" s="63"/>
      <c r="I43" s="59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59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18"/>
      <c r="AR43"/>
      <c r="AS43"/>
      <c r="AT43"/>
      <c r="AU43"/>
      <c r="AV43"/>
      <c r="AW43"/>
      <c r="AX43"/>
    </row>
    <row r="44" spans="2:50" ht="14.4" x14ac:dyDescent="0.3">
      <c r="B44" s="58"/>
      <c r="C44" s="63"/>
      <c r="D44" s="63"/>
      <c r="E44" s="63"/>
      <c r="F44" s="63"/>
      <c r="G44" s="63"/>
      <c r="H44" s="63"/>
      <c r="I44" s="59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59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18"/>
      <c r="AR44"/>
      <c r="AS44"/>
      <c r="AT44"/>
      <c r="AU44"/>
      <c r="AV44"/>
      <c r="AW44"/>
      <c r="AX44"/>
    </row>
    <row r="45" spans="2:50" ht="14.4" x14ac:dyDescent="0.3">
      <c r="B45" s="58"/>
      <c r="C45" s="63"/>
      <c r="D45" s="63"/>
      <c r="E45" s="63"/>
      <c r="F45" s="63"/>
      <c r="G45" s="63"/>
      <c r="H45" s="63"/>
      <c r="I45" s="59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59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/>
      <c r="AR45"/>
      <c r="AS45"/>
      <c r="AT45"/>
      <c r="AU45"/>
      <c r="AV45"/>
      <c r="AW45"/>
      <c r="AX45"/>
    </row>
    <row r="46" spans="2:50" ht="14.4" x14ac:dyDescent="0.3">
      <c r="B46" s="58"/>
      <c r="C46" s="63"/>
      <c r="D46" s="63"/>
      <c r="E46" s="63"/>
      <c r="F46" s="63"/>
      <c r="G46" s="63"/>
      <c r="H46" s="63"/>
      <c r="I46" s="59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59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/>
      <c r="AR46"/>
      <c r="AS46"/>
      <c r="AT46"/>
      <c r="AU46"/>
      <c r="AV46"/>
      <c r="AW46"/>
      <c r="AX46"/>
    </row>
    <row r="47" spans="2:50" ht="14.4" x14ac:dyDescent="0.3">
      <c r="B47" s="58"/>
      <c r="C47" s="63"/>
      <c r="D47" s="63"/>
      <c r="E47" s="63"/>
      <c r="F47" s="63"/>
      <c r="G47" s="63"/>
      <c r="H47" s="63"/>
      <c r="I47" s="59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59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/>
      <c r="AR47"/>
      <c r="AS47"/>
      <c r="AT47"/>
      <c r="AU47"/>
      <c r="AV47"/>
      <c r="AW47"/>
      <c r="AX47"/>
    </row>
    <row r="48" spans="2:50" ht="14.4" x14ac:dyDescent="0.3">
      <c r="B48" s="58"/>
      <c r="C48" s="63"/>
      <c r="D48" s="63"/>
      <c r="E48" s="63"/>
      <c r="F48" s="63"/>
      <c r="G48" s="63"/>
      <c r="H48" s="63"/>
      <c r="I48" s="59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59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/>
      <c r="AR48"/>
      <c r="AS48"/>
      <c r="AT48"/>
      <c r="AU48"/>
      <c r="AV48"/>
      <c r="AW48"/>
      <c r="AX48"/>
    </row>
    <row r="49" spans="2:66" ht="14.4" x14ac:dyDescent="0.3">
      <c r="B49" s="60"/>
      <c r="C49" s="61"/>
      <c r="D49" s="61"/>
      <c r="E49" s="61"/>
      <c r="F49" s="61"/>
      <c r="G49" s="61"/>
      <c r="H49" s="61"/>
      <c r="I49" s="62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2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/>
      <c r="AR49"/>
      <c r="AS49"/>
      <c r="AT49"/>
      <c r="AU49"/>
      <c r="AV49"/>
      <c r="AW49"/>
      <c r="AX49"/>
    </row>
    <row r="50" spans="2:66" ht="14.4" x14ac:dyDescent="0.3">
      <c r="B50" s="144" t="s">
        <v>11</v>
      </c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  <c r="AA50" s="144"/>
      <c r="AB50" s="144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/>
      <c r="AR50"/>
      <c r="AS50"/>
      <c r="AT50"/>
      <c r="AU50"/>
      <c r="AV50"/>
      <c r="AW50"/>
      <c r="AX50"/>
    </row>
    <row r="51" spans="2:66" ht="14.4" x14ac:dyDescent="0.3">
      <c r="B51" s="144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  <c r="AA51" s="144"/>
      <c r="AB51" s="144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/>
      <c r="AR51"/>
      <c r="AS51"/>
      <c r="AT51"/>
      <c r="AU51"/>
      <c r="AV51"/>
      <c r="AW51"/>
      <c r="AX51"/>
    </row>
    <row r="52" spans="2:66" ht="14.4" x14ac:dyDescent="0.3">
      <c r="B52" s="157" t="s">
        <v>91</v>
      </c>
      <c r="C52" s="158"/>
      <c r="D52" s="158"/>
      <c r="E52" s="158"/>
      <c r="F52" s="158"/>
      <c r="G52" s="158"/>
      <c r="H52" s="158"/>
      <c r="I52" s="158"/>
      <c r="J52" s="158"/>
      <c r="K52" s="158"/>
      <c r="L52" s="15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  <c r="AB52" s="159"/>
      <c r="BM52"/>
      <c r="BN52"/>
    </row>
    <row r="53" spans="2:66" ht="14.4" x14ac:dyDescent="0.3">
      <c r="B53" s="163"/>
      <c r="C53" s="164"/>
      <c r="D53" s="164"/>
      <c r="E53" s="164"/>
      <c r="F53" s="164"/>
      <c r="G53" s="164"/>
      <c r="H53" s="164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  <c r="AA53" s="164"/>
      <c r="AB53" s="165"/>
      <c r="BM53"/>
      <c r="BN53"/>
    </row>
    <row r="54" spans="2:66" ht="17.399999999999999" x14ac:dyDescent="0.3">
      <c r="B54" s="43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44"/>
      <c r="BM54"/>
      <c r="BN54"/>
    </row>
    <row r="55" spans="2:66" ht="17.399999999999999" x14ac:dyDescent="0.3">
      <c r="B55" s="43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44"/>
      <c r="BM55"/>
      <c r="BN55"/>
    </row>
    <row r="56" spans="2:66" ht="17.399999999999999" x14ac:dyDescent="0.3">
      <c r="B56" s="43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44"/>
      <c r="BM56"/>
      <c r="BN56"/>
    </row>
    <row r="57" spans="2:66" ht="17.399999999999999" x14ac:dyDescent="0.3">
      <c r="B57" s="43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44"/>
      <c r="BM57"/>
      <c r="BN57"/>
    </row>
    <row r="58" spans="2:66" ht="17.399999999999999" x14ac:dyDescent="0.3">
      <c r="B58" s="43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44"/>
      <c r="BM58"/>
      <c r="BN58"/>
    </row>
    <row r="59" spans="2:66" ht="17.399999999999999" x14ac:dyDescent="0.3">
      <c r="B59" s="43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44"/>
      <c r="BM59"/>
      <c r="BN59"/>
    </row>
    <row r="60" spans="2:66" ht="17.399999999999999" x14ac:dyDescent="0.3">
      <c r="B60" s="43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44"/>
      <c r="BM60"/>
      <c r="BN60"/>
    </row>
    <row r="61" spans="2:66" ht="17.399999999999999" x14ac:dyDescent="0.3">
      <c r="B61" s="43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44"/>
      <c r="BM61"/>
      <c r="BN61"/>
    </row>
    <row r="62" spans="2:66" ht="17.399999999999999" x14ac:dyDescent="0.3">
      <c r="B62" s="43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44"/>
      <c r="BM62"/>
      <c r="BN62"/>
    </row>
    <row r="63" spans="2:66" ht="17.399999999999999" x14ac:dyDescent="0.3">
      <c r="B63" s="43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44"/>
      <c r="BM63"/>
      <c r="BN63"/>
    </row>
    <row r="64" spans="2:66" ht="14.55" customHeight="1" x14ac:dyDescent="0.3">
      <c r="B64" s="163" t="s">
        <v>90</v>
      </c>
      <c r="C64" s="164"/>
      <c r="D64" s="164"/>
      <c r="E64" s="164"/>
      <c r="F64" s="164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/>
      <c r="AB64" s="165"/>
      <c r="AZ64"/>
    </row>
    <row r="65" spans="2:69" ht="14.55" customHeight="1" x14ac:dyDescent="0.3">
      <c r="B65" s="163"/>
      <c r="C65" s="164"/>
      <c r="D65" s="164"/>
      <c r="E65" s="164"/>
      <c r="F65" s="164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  <c r="AA65" s="164"/>
      <c r="AB65" s="165"/>
      <c r="AZ65"/>
      <c r="BM65"/>
      <c r="BN65"/>
      <c r="BO65"/>
      <c r="BP65"/>
      <c r="BQ65"/>
    </row>
    <row r="66" spans="2:69" ht="14.4" x14ac:dyDescent="0.3">
      <c r="B66" s="11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3"/>
      <c r="AZ66"/>
      <c r="BM66"/>
      <c r="BN66"/>
      <c r="BO66"/>
      <c r="BP66"/>
      <c r="BQ66"/>
    </row>
    <row r="67" spans="2:69" ht="14.4" x14ac:dyDescent="0.3">
      <c r="B67" s="14"/>
      <c r="AB67" s="15"/>
      <c r="AI67"/>
      <c r="AZ67"/>
      <c r="BM67" s="18"/>
      <c r="BN67" s="33"/>
      <c r="BO67" s="33"/>
      <c r="BP67" s="33"/>
      <c r="BQ67" s="33"/>
    </row>
    <row r="68" spans="2:69" ht="14.4" x14ac:dyDescent="0.3">
      <c r="B68" s="14"/>
      <c r="AB68" s="15"/>
      <c r="AI68"/>
      <c r="AZ68"/>
      <c r="BM68" s="18"/>
      <c r="BN68" s="33"/>
      <c r="BO68" s="33"/>
      <c r="BP68" s="33"/>
      <c r="BQ68" s="33"/>
    </row>
    <row r="69" spans="2:69" ht="14.4" x14ac:dyDescent="0.3">
      <c r="B69" s="14"/>
      <c r="AB69" s="15"/>
      <c r="AI69"/>
      <c r="AZ69"/>
      <c r="BM69" s="18"/>
      <c r="BN69" s="33"/>
      <c r="BO69" s="33"/>
      <c r="BP69" s="33"/>
      <c r="BQ69" s="33"/>
    </row>
    <row r="70" spans="2:69" ht="14.4" x14ac:dyDescent="0.3">
      <c r="B70" s="14"/>
      <c r="AB70" s="15"/>
      <c r="AI70"/>
      <c r="AZ70"/>
      <c r="BM70" s="18"/>
      <c r="BN70" s="33"/>
      <c r="BO70" s="33"/>
      <c r="BP70" s="33"/>
      <c r="BQ70" s="33"/>
    </row>
    <row r="71" spans="2:69" ht="14.4" x14ac:dyDescent="0.3">
      <c r="B71" s="14"/>
      <c r="AB71" s="15"/>
      <c r="AI71"/>
      <c r="AZ71"/>
      <c r="BM71"/>
      <c r="BN71"/>
      <c r="BO71"/>
      <c r="BP71"/>
      <c r="BQ71"/>
    </row>
    <row r="72" spans="2:69" ht="14.4" x14ac:dyDescent="0.3">
      <c r="B72" s="14"/>
      <c r="AB72" s="15"/>
      <c r="AI72"/>
      <c r="AZ72"/>
      <c r="BM72"/>
      <c r="BN72"/>
      <c r="BO72"/>
      <c r="BP72"/>
      <c r="BQ72"/>
    </row>
    <row r="73" spans="2:69" ht="14.4" x14ac:dyDescent="0.3">
      <c r="B73" s="14"/>
      <c r="AB73" s="15"/>
      <c r="AI73"/>
      <c r="AZ73"/>
      <c r="BM73"/>
      <c r="BN73"/>
      <c r="BO73"/>
      <c r="BP73"/>
      <c r="BQ73"/>
    </row>
    <row r="74" spans="2:69" ht="14.4" x14ac:dyDescent="0.3">
      <c r="B74" s="14"/>
      <c r="AB74" s="15"/>
      <c r="AI74"/>
      <c r="AZ74"/>
      <c r="BM74"/>
      <c r="BN74"/>
      <c r="BO74"/>
      <c r="BP74"/>
      <c r="BQ74"/>
    </row>
    <row r="75" spans="2:69" ht="14.4" x14ac:dyDescent="0.3">
      <c r="B75" s="14"/>
      <c r="AB75" s="15"/>
      <c r="AI75"/>
      <c r="AZ75"/>
      <c r="BM75"/>
      <c r="BN75"/>
      <c r="BO75"/>
      <c r="BP75"/>
      <c r="BQ75"/>
    </row>
    <row r="76" spans="2:69" ht="14.4" x14ac:dyDescent="0.3">
      <c r="B76" s="14"/>
      <c r="AB76" s="15"/>
      <c r="AE76"/>
      <c r="AF76"/>
      <c r="AG76"/>
      <c r="AH76"/>
      <c r="AI76"/>
      <c r="AZ76"/>
      <c r="BM76"/>
      <c r="BN76"/>
      <c r="BO76"/>
      <c r="BP76"/>
      <c r="BQ76"/>
    </row>
    <row r="77" spans="2:69" ht="14.4" x14ac:dyDescent="0.3">
      <c r="B77" s="14"/>
      <c r="AB77" s="15"/>
      <c r="AZ77"/>
      <c r="BM77"/>
      <c r="BN77"/>
      <c r="BO77"/>
      <c r="BP77"/>
      <c r="BQ77"/>
    </row>
    <row r="78" spans="2:69" ht="14.4" x14ac:dyDescent="0.3">
      <c r="B78" s="14"/>
      <c r="AB78" s="15"/>
      <c r="AZ78"/>
      <c r="BM78"/>
      <c r="BN78"/>
      <c r="BO78"/>
      <c r="BP78"/>
      <c r="BQ78"/>
    </row>
    <row r="79" spans="2:69" ht="14.4" x14ac:dyDescent="0.3">
      <c r="B79" s="14"/>
      <c r="AB79" s="15"/>
      <c r="AZ79"/>
      <c r="BM79"/>
      <c r="BN79"/>
      <c r="BO79"/>
      <c r="BP79"/>
      <c r="BQ79"/>
    </row>
    <row r="80" spans="2:69" ht="14.4" x14ac:dyDescent="0.3">
      <c r="B80" s="14"/>
      <c r="AB80" s="15"/>
      <c r="AR80"/>
      <c r="AS80"/>
      <c r="AT80"/>
      <c r="AU80"/>
      <c r="AV80"/>
      <c r="AW80"/>
      <c r="AX80"/>
      <c r="AY80"/>
      <c r="AZ80"/>
      <c r="BM80"/>
      <c r="BN80"/>
      <c r="BO80"/>
      <c r="BP80"/>
      <c r="BQ80"/>
    </row>
    <row r="81" spans="2:52" ht="14.4" x14ac:dyDescent="0.3">
      <c r="B81" s="14"/>
      <c r="AB81" s="15"/>
      <c r="AR81"/>
      <c r="AS81"/>
      <c r="AT81"/>
      <c r="AU81"/>
      <c r="AV81"/>
      <c r="AW81"/>
      <c r="AX81"/>
      <c r="AY81"/>
      <c r="AZ81"/>
    </row>
    <row r="82" spans="2:52" ht="14.4" x14ac:dyDescent="0.3">
      <c r="B82" s="14"/>
      <c r="AB82" s="15"/>
      <c r="AR82"/>
      <c r="AS82"/>
      <c r="AT82"/>
      <c r="AU82"/>
      <c r="AV82"/>
      <c r="AW82"/>
      <c r="AX82"/>
      <c r="AY82"/>
      <c r="AZ82"/>
    </row>
    <row r="83" spans="2:52" ht="14.4" x14ac:dyDescent="0.3">
      <c r="B83" s="14"/>
      <c r="AB83" s="15"/>
      <c r="AR83"/>
      <c r="AS83"/>
      <c r="AT83"/>
      <c r="AU83"/>
      <c r="AV83"/>
      <c r="AW83"/>
      <c r="AX83"/>
      <c r="AY83"/>
      <c r="AZ83"/>
    </row>
    <row r="84" spans="2:52" ht="14.4" x14ac:dyDescent="0.3">
      <c r="B84" s="5"/>
      <c r="C84"/>
      <c r="D84"/>
      <c r="AB84" s="15"/>
      <c r="AR84"/>
      <c r="AS84"/>
      <c r="AT84"/>
      <c r="AU84"/>
      <c r="AV84"/>
      <c r="AW84"/>
      <c r="AX84"/>
      <c r="AY84"/>
      <c r="AZ84"/>
    </row>
    <row r="85" spans="2:52" ht="14.4" x14ac:dyDescent="0.3">
      <c r="B85" s="5"/>
      <c r="C85"/>
      <c r="D85"/>
      <c r="AB85" s="15"/>
      <c r="AR85"/>
      <c r="AS85"/>
      <c r="AT85"/>
      <c r="AU85"/>
      <c r="AV85"/>
      <c r="AW85"/>
      <c r="AX85"/>
      <c r="AY85"/>
      <c r="AZ85"/>
    </row>
    <row r="86" spans="2:52" ht="14.4" x14ac:dyDescent="0.3">
      <c r="B86" s="5"/>
      <c r="C86"/>
      <c r="D86"/>
      <c r="AB86" s="15"/>
      <c r="AR86"/>
      <c r="AS86"/>
      <c r="AT86"/>
      <c r="AU86"/>
      <c r="AV86"/>
      <c r="AW86"/>
      <c r="AX86"/>
      <c r="AY86"/>
      <c r="AZ86"/>
    </row>
    <row r="87" spans="2:52" ht="14.4" x14ac:dyDescent="0.3">
      <c r="B87" s="14"/>
      <c r="AB87" s="15"/>
      <c r="AR87"/>
      <c r="AS87"/>
      <c r="AT87"/>
      <c r="AU87"/>
      <c r="AV87"/>
      <c r="AW87"/>
      <c r="AX87"/>
      <c r="AY87"/>
      <c r="AZ87"/>
    </row>
    <row r="88" spans="2:52" ht="14.4" x14ac:dyDescent="0.3">
      <c r="B88" s="14"/>
      <c r="AB88" s="15"/>
      <c r="AR88"/>
      <c r="AS88"/>
      <c r="AT88"/>
      <c r="AU88"/>
      <c r="AV88"/>
      <c r="AW88"/>
      <c r="AX88"/>
      <c r="AY88"/>
      <c r="AZ88"/>
    </row>
    <row r="89" spans="2:52" ht="14.4" x14ac:dyDescent="0.3">
      <c r="B89" s="14"/>
      <c r="AB89" s="15"/>
      <c r="AR89"/>
      <c r="AS89"/>
      <c r="AT89"/>
      <c r="AU89"/>
      <c r="AV89"/>
      <c r="AW89"/>
      <c r="AX89"/>
      <c r="AY89"/>
      <c r="AZ89"/>
    </row>
    <row r="90" spans="2:52" ht="14.4" x14ac:dyDescent="0.3">
      <c r="B90" s="14"/>
      <c r="AB90" s="15"/>
      <c r="AR90"/>
      <c r="AS90"/>
      <c r="AT90"/>
      <c r="AU90"/>
      <c r="AV90"/>
      <c r="AW90"/>
      <c r="AX90"/>
      <c r="AY90"/>
      <c r="AZ90"/>
    </row>
    <row r="91" spans="2:52" ht="14.4" x14ac:dyDescent="0.3">
      <c r="B91" s="14"/>
      <c r="AB91" s="15"/>
      <c r="AR91"/>
      <c r="AS91"/>
      <c r="AT91"/>
      <c r="AU91"/>
      <c r="AV91"/>
      <c r="AW91"/>
      <c r="AX91"/>
      <c r="AY91"/>
      <c r="AZ91"/>
    </row>
    <row r="92" spans="2:52" ht="14.4" x14ac:dyDescent="0.3">
      <c r="B92" s="14"/>
      <c r="AB92" s="15"/>
      <c r="AR92"/>
      <c r="AS92"/>
      <c r="AT92"/>
      <c r="AU92"/>
      <c r="AV92"/>
      <c r="AW92"/>
      <c r="AX92"/>
      <c r="AY92"/>
      <c r="AZ92"/>
    </row>
    <row r="93" spans="2:52" ht="14.4" x14ac:dyDescent="0.3">
      <c r="B93" s="14"/>
      <c r="AB93" s="15"/>
      <c r="AR93"/>
      <c r="AS93"/>
      <c r="AT93"/>
      <c r="AU93"/>
      <c r="AV93"/>
      <c r="AW93"/>
      <c r="AX93"/>
      <c r="AY93"/>
      <c r="AZ93"/>
    </row>
    <row r="94" spans="2:52" ht="14.4" x14ac:dyDescent="0.3">
      <c r="B94" s="14"/>
      <c r="AB94" s="15"/>
      <c r="AR94"/>
      <c r="AS94"/>
      <c r="AT94"/>
      <c r="AU94"/>
      <c r="AV94"/>
      <c r="AW94"/>
      <c r="AX94"/>
      <c r="AY94"/>
      <c r="AZ94"/>
    </row>
    <row r="95" spans="2:52" ht="14.4" x14ac:dyDescent="0.3">
      <c r="B95" s="14"/>
      <c r="AB95" s="15"/>
      <c r="AR95"/>
      <c r="AS95"/>
      <c r="AT95"/>
      <c r="AU95"/>
      <c r="AV95"/>
      <c r="AW95"/>
      <c r="AX95"/>
      <c r="AY95"/>
      <c r="AZ95"/>
    </row>
    <row r="96" spans="2:52" ht="14.4" x14ac:dyDescent="0.3">
      <c r="B96" s="14"/>
      <c r="AB96" s="15"/>
      <c r="AR96"/>
      <c r="AS96"/>
      <c r="AT96"/>
      <c r="AU96"/>
      <c r="AV96"/>
      <c r="AW96"/>
      <c r="AX96"/>
      <c r="AY96"/>
      <c r="AZ96"/>
    </row>
    <row r="97" spans="2:52" ht="14.4" x14ac:dyDescent="0.3">
      <c r="B97" s="1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10"/>
      <c r="AR97"/>
      <c r="AS97"/>
      <c r="AT97"/>
      <c r="AU97"/>
      <c r="AV97"/>
      <c r="AW97"/>
      <c r="AX97"/>
      <c r="AY97"/>
      <c r="AZ97"/>
    </row>
    <row r="98" spans="2:52" ht="14.4" x14ac:dyDescent="0.3">
      <c r="B98" s="144" t="s">
        <v>11</v>
      </c>
      <c r="C98" s="144"/>
      <c r="D98" s="144"/>
      <c r="E98" s="144"/>
      <c r="F98" s="144"/>
      <c r="G98" s="144"/>
      <c r="H98" s="144"/>
      <c r="I98" s="144"/>
      <c r="J98" s="144"/>
      <c r="K98" s="144"/>
      <c r="L98" s="144"/>
      <c r="M98" s="144"/>
      <c r="N98" s="144"/>
      <c r="O98" s="144"/>
      <c r="P98" s="144"/>
      <c r="Q98" s="144"/>
      <c r="R98" s="144"/>
      <c r="S98" s="144"/>
      <c r="T98" s="144"/>
      <c r="U98" s="144"/>
      <c r="V98" s="144"/>
      <c r="W98" s="144"/>
      <c r="X98" s="144"/>
      <c r="Y98" s="144"/>
      <c r="Z98" s="144"/>
      <c r="AA98" s="144"/>
      <c r="AB98" s="144"/>
      <c r="AR98"/>
      <c r="AS98"/>
      <c r="AT98"/>
      <c r="AU98"/>
      <c r="AV98"/>
      <c r="AW98"/>
      <c r="AX98"/>
      <c r="AY98"/>
      <c r="AZ98"/>
    </row>
    <row r="99" spans="2:52" ht="14.4" x14ac:dyDescent="0.3">
      <c r="B99" s="144"/>
      <c r="C99" s="144"/>
      <c r="D99" s="144"/>
      <c r="E99" s="144"/>
      <c r="F99" s="144"/>
      <c r="G99" s="144"/>
      <c r="H99" s="144"/>
      <c r="I99" s="144"/>
      <c r="J99" s="144"/>
      <c r="K99" s="144"/>
      <c r="L99" s="144"/>
      <c r="M99" s="144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  <c r="Y99" s="144"/>
      <c r="Z99" s="144"/>
      <c r="AA99" s="144"/>
      <c r="AB99" s="144"/>
      <c r="AR99"/>
      <c r="AS99"/>
      <c r="AT99"/>
      <c r="AU99"/>
      <c r="AV99"/>
      <c r="AW99"/>
      <c r="AX99"/>
      <c r="AY99"/>
      <c r="AZ99"/>
    </row>
    <row r="100" spans="2:52" ht="14.4" x14ac:dyDescent="0.3">
      <c r="AR100"/>
      <c r="AS100"/>
      <c r="AT100"/>
      <c r="AU100"/>
      <c r="AV100"/>
      <c r="AW100"/>
      <c r="AX100"/>
      <c r="AY100"/>
      <c r="AZ100"/>
    </row>
    <row r="101" spans="2:52" ht="14.4" x14ac:dyDescent="0.3">
      <c r="AR101"/>
      <c r="AS101"/>
      <c r="AT101"/>
      <c r="AU101"/>
      <c r="AV101"/>
      <c r="AW101"/>
      <c r="AX101"/>
      <c r="AY101"/>
      <c r="AZ101"/>
    </row>
    <row r="102" spans="2:52" ht="14.4" x14ac:dyDescent="0.3">
      <c r="AR102"/>
      <c r="AS102"/>
      <c r="AT102"/>
      <c r="AU102"/>
      <c r="AV102"/>
      <c r="AW102"/>
      <c r="AX102"/>
      <c r="AY102"/>
      <c r="AZ102"/>
    </row>
    <row r="103" spans="2:52" ht="14.4" x14ac:dyDescent="0.3">
      <c r="AR103"/>
      <c r="AS103"/>
      <c r="AT103"/>
      <c r="AU103"/>
      <c r="AV103"/>
      <c r="AW103"/>
      <c r="AX103"/>
      <c r="AY103"/>
      <c r="AZ103"/>
    </row>
    <row r="104" spans="2:52" ht="14.4" x14ac:dyDescent="0.3">
      <c r="AR104"/>
      <c r="AS104"/>
      <c r="AT104"/>
      <c r="AU104"/>
      <c r="AV104"/>
      <c r="AW104"/>
      <c r="AX104"/>
      <c r="AY104"/>
      <c r="AZ104"/>
    </row>
    <row r="105" spans="2:52" ht="14.4" x14ac:dyDescent="0.3">
      <c r="AR105"/>
      <c r="AS105"/>
      <c r="AT105"/>
      <c r="AU105"/>
      <c r="AV105"/>
      <c r="AW105"/>
      <c r="AX105"/>
      <c r="AY105"/>
      <c r="AZ105"/>
    </row>
    <row r="106" spans="2:52" ht="14.4" x14ac:dyDescent="0.3">
      <c r="AR106"/>
      <c r="AS106"/>
      <c r="AT106"/>
      <c r="AU106"/>
      <c r="AV106"/>
      <c r="AW106"/>
      <c r="AX106"/>
      <c r="AY106"/>
      <c r="AZ106"/>
    </row>
    <row r="107" spans="2:52" ht="14.4" x14ac:dyDescent="0.3">
      <c r="AR107"/>
      <c r="AS107"/>
      <c r="AT107"/>
      <c r="AU107"/>
      <c r="AV107"/>
      <c r="AW107"/>
      <c r="AX107"/>
      <c r="AY107"/>
      <c r="AZ107"/>
    </row>
    <row r="108" spans="2:52" ht="14.4" x14ac:dyDescent="0.3">
      <c r="AR108"/>
      <c r="AS108"/>
      <c r="AT108"/>
      <c r="AU108"/>
      <c r="AV108"/>
      <c r="AW108"/>
      <c r="AX108"/>
      <c r="AY108"/>
      <c r="AZ108"/>
    </row>
    <row r="109" spans="2:52" ht="14.4" x14ac:dyDescent="0.3">
      <c r="AR109"/>
      <c r="AS109"/>
      <c r="AT109"/>
      <c r="AU109"/>
      <c r="AV109"/>
      <c r="AW109"/>
      <c r="AX109"/>
      <c r="AY109"/>
      <c r="AZ109"/>
    </row>
    <row r="110" spans="2:52" ht="14.4" x14ac:dyDescent="0.3">
      <c r="AR110"/>
      <c r="AS110"/>
      <c r="AT110"/>
      <c r="AU110"/>
      <c r="AV110"/>
      <c r="AW110"/>
      <c r="AX110"/>
      <c r="AY110"/>
      <c r="AZ110"/>
    </row>
    <row r="111" spans="2:52" ht="14.4" x14ac:dyDescent="0.3">
      <c r="AR111"/>
      <c r="AS111"/>
      <c r="AT111"/>
      <c r="AU111"/>
      <c r="AV111"/>
      <c r="AW111"/>
      <c r="AX111"/>
      <c r="AY111"/>
      <c r="AZ111"/>
    </row>
    <row r="112" spans="2:52" ht="14.4" x14ac:dyDescent="0.3">
      <c r="AR112"/>
      <c r="AS112"/>
      <c r="AT112"/>
      <c r="AU112"/>
      <c r="AV112"/>
      <c r="AW112"/>
      <c r="AX112"/>
      <c r="AY112"/>
      <c r="AZ112"/>
    </row>
    <row r="113" spans="44:52" ht="14.4" x14ac:dyDescent="0.3">
      <c r="AR113"/>
      <c r="AS113"/>
      <c r="AT113"/>
      <c r="AU113"/>
      <c r="AV113"/>
      <c r="AW113"/>
      <c r="AX113"/>
      <c r="AY113"/>
      <c r="AZ113"/>
    </row>
    <row r="114" spans="44:52" ht="14.4" x14ac:dyDescent="0.3">
      <c r="AR114"/>
      <c r="AS114"/>
      <c r="AT114"/>
      <c r="AU114"/>
      <c r="AV114"/>
      <c r="AW114"/>
      <c r="AX114"/>
      <c r="AY114"/>
      <c r="AZ114"/>
    </row>
    <row r="115" spans="44:52" ht="14.4" x14ac:dyDescent="0.3">
      <c r="AR115"/>
      <c r="AS115"/>
      <c r="AT115"/>
      <c r="AU115"/>
      <c r="AV115"/>
      <c r="AW115"/>
      <c r="AX115"/>
      <c r="AY115"/>
      <c r="AZ115"/>
    </row>
    <row r="116" spans="44:52" ht="14.4" x14ac:dyDescent="0.3">
      <c r="AR116"/>
      <c r="AS116"/>
      <c r="AT116"/>
      <c r="AU116"/>
      <c r="AV116"/>
      <c r="AW116"/>
      <c r="AX116"/>
      <c r="AY116"/>
      <c r="AZ116"/>
    </row>
    <row r="117" spans="44:52" ht="14.4" x14ac:dyDescent="0.3">
      <c r="AR117"/>
      <c r="AS117"/>
      <c r="AT117"/>
      <c r="AU117"/>
      <c r="AV117"/>
      <c r="AW117"/>
      <c r="AX117"/>
      <c r="AY117"/>
      <c r="AZ117"/>
    </row>
    <row r="118" spans="44:52" ht="14.4" x14ac:dyDescent="0.3">
      <c r="AR118"/>
      <c r="AS118"/>
      <c r="AT118"/>
      <c r="AU118"/>
      <c r="AV118"/>
      <c r="AW118"/>
      <c r="AX118"/>
      <c r="AY118"/>
      <c r="AZ118"/>
    </row>
    <row r="119" spans="44:52" ht="14.4" x14ac:dyDescent="0.3">
      <c r="AR119"/>
      <c r="AS119"/>
      <c r="AT119"/>
      <c r="AU119"/>
      <c r="AV119"/>
      <c r="AW119"/>
      <c r="AX119"/>
      <c r="AY119"/>
      <c r="AZ119"/>
    </row>
    <row r="120" spans="44:52" ht="14.4" x14ac:dyDescent="0.3">
      <c r="AR120"/>
      <c r="AS120"/>
      <c r="AT120"/>
      <c r="AU120"/>
      <c r="AV120"/>
      <c r="AW120"/>
      <c r="AX120"/>
      <c r="AY120"/>
      <c r="AZ120"/>
    </row>
    <row r="121" spans="44:52" ht="14.4" x14ac:dyDescent="0.3">
      <c r="AR121"/>
      <c r="AS121"/>
      <c r="AT121"/>
      <c r="AU121"/>
      <c r="AV121"/>
      <c r="AW121"/>
      <c r="AX121"/>
      <c r="AY121"/>
      <c r="AZ121"/>
    </row>
    <row r="122" spans="44:52" ht="14.4" x14ac:dyDescent="0.3">
      <c r="AR122"/>
      <c r="AS122"/>
      <c r="AT122"/>
      <c r="AU122"/>
      <c r="AV122"/>
      <c r="AW122"/>
      <c r="AX122"/>
      <c r="AY122"/>
      <c r="AZ122"/>
    </row>
    <row r="123" spans="44:52" ht="14.4" x14ac:dyDescent="0.3">
      <c r="AR123"/>
      <c r="AS123"/>
      <c r="AT123"/>
      <c r="AU123"/>
      <c r="AV123"/>
      <c r="AW123"/>
      <c r="AX123"/>
      <c r="AY123"/>
      <c r="AZ123"/>
    </row>
    <row r="124" spans="44:52" ht="14.4" x14ac:dyDescent="0.3">
      <c r="AR124"/>
      <c r="AS124"/>
      <c r="AT124"/>
      <c r="AU124"/>
      <c r="AV124"/>
      <c r="AW124"/>
      <c r="AX124"/>
      <c r="AY124"/>
      <c r="AZ124"/>
    </row>
    <row r="125" spans="44:52" ht="14.4" x14ac:dyDescent="0.3">
      <c r="AR125"/>
      <c r="AS125"/>
      <c r="AT125"/>
      <c r="AU125"/>
      <c r="AV125"/>
      <c r="AW125"/>
      <c r="AX125"/>
      <c r="AY125"/>
      <c r="AZ125"/>
    </row>
    <row r="126" spans="44:52" ht="14.4" x14ac:dyDescent="0.3">
      <c r="AR126"/>
      <c r="AS126"/>
      <c r="AT126"/>
      <c r="AU126"/>
      <c r="AV126"/>
      <c r="AW126"/>
      <c r="AX126"/>
      <c r="AY126"/>
      <c r="AZ126"/>
    </row>
    <row r="127" spans="44:52" ht="14.4" x14ac:dyDescent="0.3">
      <c r="AR127"/>
      <c r="AS127"/>
      <c r="AT127"/>
      <c r="AU127"/>
      <c r="AV127"/>
      <c r="AW127"/>
      <c r="AX127"/>
      <c r="AY127"/>
      <c r="AZ127"/>
    </row>
    <row r="128" spans="44:52" ht="14.4" x14ac:dyDescent="0.3">
      <c r="AR128"/>
      <c r="AS128"/>
      <c r="AT128"/>
      <c r="AU128"/>
      <c r="AV128"/>
      <c r="AW128"/>
      <c r="AX128"/>
      <c r="AY128"/>
      <c r="AZ128"/>
    </row>
    <row r="129" spans="44:52" ht="14.4" x14ac:dyDescent="0.3">
      <c r="AR129"/>
      <c r="AS129"/>
      <c r="AT129"/>
      <c r="AU129"/>
      <c r="AV129"/>
      <c r="AW129"/>
      <c r="AX129"/>
      <c r="AY129"/>
      <c r="AZ129"/>
    </row>
    <row r="130" spans="44:52" ht="14.4" x14ac:dyDescent="0.3">
      <c r="AR130"/>
      <c r="AS130"/>
      <c r="AT130"/>
      <c r="AU130"/>
      <c r="AV130"/>
      <c r="AW130"/>
      <c r="AX130"/>
      <c r="AY130"/>
      <c r="AZ130"/>
    </row>
    <row r="131" spans="44:52" ht="14.4" x14ac:dyDescent="0.3">
      <c r="AR131"/>
      <c r="AS131"/>
      <c r="AT131"/>
      <c r="AU131"/>
      <c r="AV131"/>
      <c r="AW131"/>
      <c r="AX131"/>
      <c r="AY131"/>
      <c r="AZ131"/>
    </row>
    <row r="132" spans="44:52" ht="14.4" x14ac:dyDescent="0.3">
      <c r="AR132"/>
      <c r="AS132"/>
      <c r="AT132"/>
      <c r="AU132"/>
      <c r="AV132"/>
      <c r="AW132"/>
      <c r="AX132"/>
      <c r="AY132"/>
      <c r="AZ132"/>
    </row>
    <row r="133" spans="44:52" ht="14.4" x14ac:dyDescent="0.3">
      <c r="AR133"/>
      <c r="AS133"/>
      <c r="AT133"/>
      <c r="AU133"/>
      <c r="AV133"/>
      <c r="AW133"/>
      <c r="AX133"/>
      <c r="AY133"/>
      <c r="AZ133"/>
    </row>
    <row r="134" spans="44:52" ht="14.4" x14ac:dyDescent="0.3">
      <c r="AR134"/>
      <c r="AS134"/>
      <c r="AT134"/>
      <c r="AU134"/>
      <c r="AV134"/>
      <c r="AW134"/>
      <c r="AX134"/>
      <c r="AY134"/>
      <c r="AZ134"/>
    </row>
    <row r="135" spans="44:52" ht="14.4" x14ac:dyDescent="0.3">
      <c r="AR135"/>
      <c r="AS135"/>
      <c r="AT135"/>
      <c r="AU135"/>
      <c r="AV135"/>
      <c r="AW135"/>
      <c r="AX135"/>
      <c r="AY135"/>
      <c r="AZ135"/>
    </row>
    <row r="136" spans="44:52" ht="14.4" x14ac:dyDescent="0.3">
      <c r="AR136"/>
      <c r="AS136"/>
      <c r="AT136"/>
      <c r="AU136"/>
      <c r="AV136"/>
      <c r="AW136"/>
      <c r="AX136"/>
      <c r="AY136"/>
      <c r="AZ136"/>
    </row>
    <row r="137" spans="44:52" ht="14.4" x14ac:dyDescent="0.3">
      <c r="AR137"/>
      <c r="AS137"/>
      <c r="AT137"/>
      <c r="AU137"/>
      <c r="AV137"/>
      <c r="AW137"/>
      <c r="AX137"/>
      <c r="AY137"/>
      <c r="AZ137"/>
    </row>
    <row r="138" spans="44:52" ht="14.4" x14ac:dyDescent="0.3">
      <c r="AR138"/>
      <c r="AS138"/>
      <c r="AT138"/>
      <c r="AU138"/>
      <c r="AV138"/>
      <c r="AW138"/>
      <c r="AX138"/>
      <c r="AY138"/>
      <c r="AZ138"/>
    </row>
    <row r="139" spans="44:52" ht="14.4" x14ac:dyDescent="0.3">
      <c r="AR139"/>
      <c r="AS139"/>
      <c r="AT139"/>
      <c r="AU139"/>
      <c r="AV139"/>
      <c r="AW139"/>
      <c r="AX139"/>
      <c r="AY139"/>
      <c r="AZ139"/>
    </row>
    <row r="140" spans="44:52" ht="14.4" x14ac:dyDescent="0.3">
      <c r="AR140"/>
      <c r="AS140"/>
      <c r="AT140"/>
      <c r="AU140"/>
      <c r="AV140"/>
      <c r="AW140"/>
      <c r="AX140"/>
      <c r="AY140"/>
      <c r="AZ140"/>
    </row>
    <row r="141" spans="44:52" ht="14.4" x14ac:dyDescent="0.3">
      <c r="AR141"/>
      <c r="AS141"/>
      <c r="AT141"/>
      <c r="AU141"/>
      <c r="AV141"/>
      <c r="AW141"/>
      <c r="AX141"/>
      <c r="AY141"/>
    </row>
    <row r="142" spans="44:52" ht="14.4" x14ac:dyDescent="0.3">
      <c r="AR142"/>
      <c r="AS142"/>
      <c r="AT142"/>
      <c r="AU142"/>
      <c r="AV142"/>
      <c r="AW142"/>
      <c r="AX142"/>
      <c r="AY142"/>
    </row>
    <row r="143" spans="44:52" ht="14.4" x14ac:dyDescent="0.3">
      <c r="AR143"/>
      <c r="AS143"/>
      <c r="AT143"/>
      <c r="AU143"/>
      <c r="AV143"/>
      <c r="AW143"/>
      <c r="AX143"/>
      <c r="AY143"/>
    </row>
    <row r="144" spans="44:52" ht="14.4" x14ac:dyDescent="0.3">
      <c r="AR144"/>
      <c r="AS144"/>
      <c r="AT144"/>
      <c r="AU144"/>
      <c r="AV144"/>
      <c r="AW144"/>
      <c r="AX144"/>
      <c r="AY144"/>
    </row>
    <row r="145" spans="44:51" ht="14.4" x14ac:dyDescent="0.3">
      <c r="AR145"/>
      <c r="AS145"/>
      <c r="AT145"/>
      <c r="AU145"/>
      <c r="AV145"/>
      <c r="AW145"/>
      <c r="AX145"/>
      <c r="AY145"/>
    </row>
    <row r="146" spans="44:51" ht="14.4" x14ac:dyDescent="0.3">
      <c r="AR146"/>
      <c r="AS146"/>
      <c r="AT146"/>
      <c r="AU146"/>
      <c r="AV146"/>
      <c r="AW146"/>
      <c r="AX146"/>
      <c r="AY146"/>
    </row>
    <row r="147" spans="44:51" ht="14.4" x14ac:dyDescent="0.3">
      <c r="AR147"/>
      <c r="AS147"/>
      <c r="AT147"/>
      <c r="AU147"/>
      <c r="AV147"/>
      <c r="AW147"/>
      <c r="AX147"/>
      <c r="AY147"/>
    </row>
    <row r="148" spans="44:51" ht="14.4" x14ac:dyDescent="0.3">
      <c r="AR148"/>
      <c r="AS148"/>
      <c r="AT148"/>
      <c r="AU148"/>
      <c r="AV148"/>
      <c r="AW148"/>
      <c r="AX148"/>
      <c r="AY148"/>
    </row>
    <row r="149" spans="44:51" ht="14.4" x14ac:dyDescent="0.3">
      <c r="AR149"/>
      <c r="AS149"/>
      <c r="AT149"/>
      <c r="AU149"/>
      <c r="AV149"/>
      <c r="AW149"/>
      <c r="AX149"/>
      <c r="AY149"/>
    </row>
    <row r="150" spans="44:51" ht="14.4" x14ac:dyDescent="0.3">
      <c r="AR150"/>
      <c r="AS150"/>
      <c r="AT150"/>
      <c r="AU150"/>
      <c r="AV150"/>
      <c r="AW150"/>
      <c r="AX150"/>
      <c r="AY150"/>
    </row>
    <row r="151" spans="44:51" ht="14.4" x14ac:dyDescent="0.3">
      <c r="AR151"/>
      <c r="AS151"/>
      <c r="AT151"/>
      <c r="AU151"/>
      <c r="AV151"/>
      <c r="AW151"/>
      <c r="AX151"/>
      <c r="AY151"/>
    </row>
    <row r="152" spans="44:51" ht="14.4" x14ac:dyDescent="0.3">
      <c r="AR152"/>
      <c r="AS152"/>
      <c r="AT152"/>
      <c r="AU152"/>
      <c r="AV152"/>
      <c r="AW152"/>
      <c r="AX152"/>
      <c r="AY152"/>
    </row>
    <row r="153" spans="44:51" ht="14.4" x14ac:dyDescent="0.3">
      <c r="AR153"/>
      <c r="AS153"/>
      <c r="AT153"/>
      <c r="AU153"/>
      <c r="AV153"/>
      <c r="AW153"/>
      <c r="AX153"/>
      <c r="AY153"/>
    </row>
    <row r="154" spans="44:51" ht="14.4" x14ac:dyDescent="0.3">
      <c r="AR154"/>
      <c r="AS154"/>
      <c r="AT154"/>
      <c r="AU154"/>
      <c r="AV154"/>
      <c r="AW154"/>
      <c r="AX154"/>
      <c r="AY154"/>
    </row>
    <row r="155" spans="44:51" ht="14.4" x14ac:dyDescent="0.3">
      <c r="AR155"/>
      <c r="AS155"/>
      <c r="AT155"/>
      <c r="AU155"/>
      <c r="AV155"/>
      <c r="AW155"/>
      <c r="AX155"/>
      <c r="AY155"/>
    </row>
    <row r="156" spans="44:51" ht="14.4" x14ac:dyDescent="0.3">
      <c r="AR156"/>
      <c r="AS156"/>
      <c r="AT156"/>
      <c r="AU156"/>
      <c r="AV156"/>
      <c r="AW156"/>
      <c r="AX156"/>
      <c r="AY156"/>
    </row>
    <row r="157" spans="44:51" ht="14.4" x14ac:dyDescent="0.3">
      <c r="AR157"/>
      <c r="AS157"/>
      <c r="AT157"/>
      <c r="AU157"/>
      <c r="AV157"/>
      <c r="AW157"/>
      <c r="AX157"/>
      <c r="AY157"/>
    </row>
    <row r="158" spans="44:51" ht="14.4" x14ac:dyDescent="0.3">
      <c r="AR158"/>
      <c r="AS158"/>
      <c r="AT158"/>
      <c r="AU158"/>
      <c r="AV158"/>
      <c r="AW158"/>
      <c r="AX158"/>
      <c r="AY158"/>
    </row>
    <row r="159" spans="44:51" ht="14.4" x14ac:dyDescent="0.3">
      <c r="AR159"/>
      <c r="AS159"/>
      <c r="AT159"/>
      <c r="AU159"/>
      <c r="AV159"/>
      <c r="AW159"/>
      <c r="AX159"/>
      <c r="AY159"/>
    </row>
    <row r="160" spans="44:51" ht="14.4" x14ac:dyDescent="0.3">
      <c r="AR160"/>
      <c r="AS160"/>
      <c r="AT160"/>
      <c r="AU160"/>
      <c r="AV160"/>
      <c r="AW160"/>
      <c r="AX160"/>
      <c r="AY160"/>
    </row>
    <row r="161" spans="44:51" ht="14.4" x14ac:dyDescent="0.3">
      <c r="AR161"/>
      <c r="AS161"/>
      <c r="AT161"/>
      <c r="AU161"/>
      <c r="AV161"/>
      <c r="AW161"/>
      <c r="AX161"/>
      <c r="AY161"/>
    </row>
    <row r="162" spans="44:51" ht="14.4" x14ac:dyDescent="0.3">
      <c r="AR162"/>
      <c r="AS162"/>
      <c r="AT162"/>
      <c r="AU162"/>
      <c r="AV162"/>
      <c r="AW162"/>
      <c r="AX162"/>
      <c r="AY162"/>
    </row>
    <row r="163" spans="44:51" ht="14.4" x14ac:dyDescent="0.3">
      <c r="AR163"/>
      <c r="AS163"/>
      <c r="AT163"/>
      <c r="AU163"/>
      <c r="AV163"/>
      <c r="AW163"/>
      <c r="AX163"/>
      <c r="AY163"/>
    </row>
    <row r="164" spans="44:51" ht="14.4" x14ac:dyDescent="0.3">
      <c r="AR164"/>
      <c r="AS164"/>
      <c r="AT164"/>
      <c r="AU164"/>
      <c r="AV164"/>
      <c r="AW164"/>
      <c r="AX164"/>
      <c r="AY164"/>
    </row>
    <row r="165" spans="44:51" ht="14.4" x14ac:dyDescent="0.3">
      <c r="AR165"/>
      <c r="AS165"/>
      <c r="AT165"/>
      <c r="AU165"/>
      <c r="AV165"/>
      <c r="AW165"/>
      <c r="AX165"/>
      <c r="AY165"/>
    </row>
    <row r="166" spans="44:51" ht="14.4" x14ac:dyDescent="0.3">
      <c r="AR166"/>
      <c r="AS166"/>
      <c r="AT166"/>
      <c r="AU166"/>
      <c r="AV166"/>
      <c r="AW166"/>
      <c r="AX166"/>
      <c r="AY166"/>
    </row>
    <row r="167" spans="44:51" ht="14.4" x14ac:dyDescent="0.3">
      <c r="AR167"/>
      <c r="AS167"/>
      <c r="AT167"/>
      <c r="AU167"/>
      <c r="AV167"/>
      <c r="AW167"/>
      <c r="AX167"/>
      <c r="AY167"/>
    </row>
    <row r="168" spans="44:51" ht="14.4" x14ac:dyDescent="0.3">
      <c r="AR168"/>
      <c r="AS168"/>
      <c r="AT168"/>
      <c r="AU168"/>
      <c r="AV168"/>
      <c r="AW168"/>
      <c r="AX168"/>
      <c r="AY168"/>
    </row>
    <row r="169" spans="44:51" ht="14.4" x14ac:dyDescent="0.3">
      <c r="AR169"/>
      <c r="AS169"/>
      <c r="AT169"/>
      <c r="AU169"/>
      <c r="AV169"/>
      <c r="AW169"/>
      <c r="AX169"/>
      <c r="AY169"/>
    </row>
    <row r="170" spans="44:51" ht="14.4" x14ac:dyDescent="0.3">
      <c r="AR170"/>
      <c r="AS170"/>
      <c r="AT170"/>
      <c r="AU170"/>
      <c r="AV170"/>
      <c r="AW170"/>
      <c r="AX170"/>
      <c r="AY170"/>
    </row>
    <row r="171" spans="44:51" ht="14.4" x14ac:dyDescent="0.3">
      <c r="AR171"/>
      <c r="AS171"/>
      <c r="AT171"/>
      <c r="AU171"/>
      <c r="AV171"/>
      <c r="AW171"/>
      <c r="AX171"/>
      <c r="AY171"/>
    </row>
    <row r="172" spans="44:51" ht="14.4" x14ac:dyDescent="0.3">
      <c r="AR172"/>
      <c r="AS172"/>
      <c r="AT172"/>
      <c r="AU172"/>
      <c r="AV172"/>
      <c r="AW172"/>
      <c r="AX172"/>
      <c r="AY172"/>
    </row>
    <row r="173" spans="44:51" ht="14.4" x14ac:dyDescent="0.3">
      <c r="AR173"/>
      <c r="AS173"/>
      <c r="AT173"/>
      <c r="AU173"/>
      <c r="AV173"/>
      <c r="AW173"/>
      <c r="AX173"/>
      <c r="AY173"/>
    </row>
    <row r="174" spans="44:51" ht="14.4" x14ac:dyDescent="0.3">
      <c r="AR174"/>
      <c r="AS174"/>
      <c r="AT174"/>
      <c r="AU174"/>
      <c r="AV174"/>
      <c r="AW174"/>
      <c r="AX174"/>
      <c r="AY174"/>
    </row>
    <row r="175" spans="44:51" ht="14.4" x14ac:dyDescent="0.3">
      <c r="AR175"/>
      <c r="AS175"/>
      <c r="AT175"/>
      <c r="AU175"/>
      <c r="AV175"/>
      <c r="AW175"/>
      <c r="AX175"/>
      <c r="AY175"/>
    </row>
    <row r="176" spans="44:51" ht="14.4" x14ac:dyDescent="0.3">
      <c r="AR176"/>
      <c r="AS176"/>
      <c r="AT176"/>
      <c r="AU176"/>
      <c r="AV176"/>
      <c r="AW176"/>
      <c r="AX176"/>
      <c r="AY176"/>
    </row>
    <row r="177" spans="44:51" ht="14.4" x14ac:dyDescent="0.3">
      <c r="AR177"/>
      <c r="AS177"/>
      <c r="AT177"/>
      <c r="AU177"/>
      <c r="AV177"/>
      <c r="AW177"/>
      <c r="AX177"/>
      <c r="AY177"/>
    </row>
    <row r="178" spans="44:51" ht="14.4" x14ac:dyDescent="0.3">
      <c r="AR178"/>
      <c r="AS178"/>
      <c r="AT178"/>
      <c r="AU178"/>
      <c r="AV178"/>
      <c r="AW178"/>
      <c r="AX178"/>
      <c r="AY178"/>
    </row>
    <row r="179" spans="44:51" ht="14.4" x14ac:dyDescent="0.3">
      <c r="AR179"/>
      <c r="AS179"/>
      <c r="AT179"/>
      <c r="AU179"/>
      <c r="AV179"/>
      <c r="AW179"/>
      <c r="AX179"/>
      <c r="AY179"/>
    </row>
    <row r="180" spans="44:51" ht="14.4" x14ac:dyDescent="0.3">
      <c r="AR180"/>
      <c r="AS180"/>
      <c r="AT180"/>
      <c r="AU180"/>
      <c r="AV180"/>
      <c r="AW180"/>
      <c r="AX180"/>
      <c r="AY180"/>
    </row>
    <row r="181" spans="44:51" ht="14.4" x14ac:dyDescent="0.3">
      <c r="AR181"/>
      <c r="AS181"/>
      <c r="AT181"/>
      <c r="AU181"/>
      <c r="AV181"/>
      <c r="AW181"/>
      <c r="AX181"/>
      <c r="AY181"/>
    </row>
    <row r="182" spans="44:51" ht="14.4" x14ac:dyDescent="0.3">
      <c r="AR182"/>
      <c r="AS182"/>
      <c r="AT182"/>
      <c r="AU182"/>
      <c r="AV182"/>
      <c r="AW182"/>
      <c r="AX182"/>
      <c r="AY182"/>
    </row>
    <row r="183" spans="44:51" ht="14.4" x14ac:dyDescent="0.3">
      <c r="AR183"/>
      <c r="AS183"/>
      <c r="AT183"/>
      <c r="AU183"/>
      <c r="AV183"/>
      <c r="AW183"/>
      <c r="AX183"/>
      <c r="AY183"/>
    </row>
    <row r="184" spans="44:51" ht="14.4" x14ac:dyDescent="0.3">
      <c r="AR184"/>
      <c r="AS184"/>
      <c r="AT184"/>
      <c r="AU184"/>
      <c r="AV184"/>
      <c r="AW184"/>
      <c r="AX184"/>
      <c r="AY184"/>
    </row>
    <row r="185" spans="44:51" ht="14.4" x14ac:dyDescent="0.3">
      <c r="AR185"/>
      <c r="AS185"/>
      <c r="AT185"/>
      <c r="AU185"/>
      <c r="AV185"/>
      <c r="AW185"/>
      <c r="AX185"/>
      <c r="AY185"/>
    </row>
    <row r="186" spans="44:51" ht="14.4" x14ac:dyDescent="0.3">
      <c r="AR186"/>
      <c r="AS186"/>
      <c r="AT186"/>
      <c r="AU186"/>
      <c r="AV186"/>
      <c r="AW186"/>
      <c r="AX186"/>
      <c r="AY186"/>
    </row>
    <row r="187" spans="44:51" ht="14.4" x14ac:dyDescent="0.3">
      <c r="AR187"/>
      <c r="AS187"/>
      <c r="AT187"/>
      <c r="AU187"/>
      <c r="AV187"/>
      <c r="AW187"/>
      <c r="AX187"/>
      <c r="AY187"/>
    </row>
    <row r="188" spans="44:51" ht="14.4" x14ac:dyDescent="0.3">
      <c r="AR188"/>
      <c r="AS188"/>
      <c r="AT188"/>
      <c r="AU188"/>
      <c r="AV188"/>
      <c r="AW188"/>
      <c r="AX188"/>
      <c r="AY188"/>
    </row>
    <row r="189" spans="44:51" ht="14.4" x14ac:dyDescent="0.3">
      <c r="AR189"/>
      <c r="AS189"/>
      <c r="AT189"/>
      <c r="AU189"/>
      <c r="AV189"/>
      <c r="AW189"/>
      <c r="AX189"/>
      <c r="AY189"/>
    </row>
    <row r="190" spans="44:51" ht="14.4" x14ac:dyDescent="0.3">
      <c r="AR190"/>
      <c r="AS190"/>
      <c r="AT190"/>
      <c r="AU190"/>
      <c r="AV190"/>
      <c r="AW190"/>
      <c r="AX190"/>
      <c r="AY190"/>
    </row>
    <row r="191" spans="44:51" ht="14.4" x14ac:dyDescent="0.3">
      <c r="AR191"/>
      <c r="AS191"/>
      <c r="AT191"/>
      <c r="AU191"/>
      <c r="AV191"/>
      <c r="AW191"/>
      <c r="AX191"/>
      <c r="AY191"/>
    </row>
    <row r="192" spans="44:51" ht="14.4" x14ac:dyDescent="0.3">
      <c r="AR192"/>
      <c r="AS192"/>
      <c r="AT192"/>
      <c r="AU192"/>
      <c r="AV192"/>
      <c r="AW192"/>
      <c r="AX192"/>
      <c r="AY192"/>
    </row>
    <row r="193" spans="44:51" ht="14.4" x14ac:dyDescent="0.3">
      <c r="AR193"/>
      <c r="AS193"/>
      <c r="AT193"/>
      <c r="AU193"/>
      <c r="AV193"/>
      <c r="AW193"/>
      <c r="AX193"/>
      <c r="AY193"/>
    </row>
    <row r="194" spans="44:51" ht="14.4" x14ac:dyDescent="0.3">
      <c r="AR194"/>
      <c r="AS194"/>
      <c r="AT194"/>
      <c r="AU194"/>
      <c r="AV194"/>
      <c r="AW194"/>
      <c r="AX194"/>
      <c r="AY194"/>
    </row>
    <row r="195" spans="44:51" ht="14.4" x14ac:dyDescent="0.3">
      <c r="AR195"/>
      <c r="AS195"/>
      <c r="AT195"/>
      <c r="AU195"/>
      <c r="AV195"/>
      <c r="AW195"/>
      <c r="AX195"/>
      <c r="AY195"/>
    </row>
    <row r="196" spans="44:51" ht="14.4" x14ac:dyDescent="0.3">
      <c r="AR196"/>
      <c r="AS196"/>
      <c r="AT196"/>
      <c r="AU196"/>
      <c r="AV196"/>
      <c r="AW196"/>
      <c r="AX196"/>
      <c r="AY196"/>
    </row>
    <row r="197" spans="44:51" ht="14.4" x14ac:dyDescent="0.3">
      <c r="AR197"/>
      <c r="AS197"/>
      <c r="AT197"/>
      <c r="AU197"/>
      <c r="AV197"/>
      <c r="AW197"/>
      <c r="AX197"/>
      <c r="AY197"/>
    </row>
    <row r="198" spans="44:51" ht="14.4" x14ac:dyDescent="0.3">
      <c r="AR198"/>
      <c r="AS198"/>
      <c r="AT198"/>
      <c r="AU198"/>
      <c r="AV198"/>
      <c r="AW198"/>
      <c r="AX198"/>
      <c r="AY198"/>
    </row>
    <row r="199" spans="44:51" ht="14.4" x14ac:dyDescent="0.3">
      <c r="AR199"/>
      <c r="AS199"/>
      <c r="AT199"/>
      <c r="AU199"/>
      <c r="AV199"/>
      <c r="AW199"/>
      <c r="AX199"/>
      <c r="AY199"/>
    </row>
    <row r="200" spans="44:51" ht="14.4" x14ac:dyDescent="0.3">
      <c r="AR200"/>
      <c r="AS200"/>
      <c r="AT200"/>
      <c r="AU200"/>
      <c r="AV200"/>
      <c r="AW200"/>
      <c r="AX200"/>
      <c r="AY200"/>
    </row>
    <row r="201" spans="44:51" ht="14.4" x14ac:dyDescent="0.3">
      <c r="AR201"/>
      <c r="AS201"/>
      <c r="AT201"/>
      <c r="AU201"/>
      <c r="AV201"/>
      <c r="AW201"/>
      <c r="AX201"/>
      <c r="AY201"/>
    </row>
    <row r="202" spans="44:51" ht="14.4" x14ac:dyDescent="0.3">
      <c r="AR202"/>
      <c r="AS202"/>
      <c r="AT202"/>
      <c r="AU202"/>
      <c r="AV202"/>
      <c r="AW202"/>
      <c r="AX202"/>
      <c r="AY202"/>
    </row>
    <row r="203" spans="44:51" ht="14.4" x14ac:dyDescent="0.3">
      <c r="AR203"/>
      <c r="AS203"/>
      <c r="AT203"/>
      <c r="AU203"/>
      <c r="AV203"/>
      <c r="AW203"/>
      <c r="AX203"/>
      <c r="AY203"/>
    </row>
    <row r="204" spans="44:51" ht="14.4" x14ac:dyDescent="0.3">
      <c r="AR204"/>
      <c r="AS204"/>
      <c r="AT204"/>
      <c r="AU204"/>
      <c r="AV204"/>
      <c r="AW204"/>
      <c r="AX204"/>
      <c r="AY204"/>
    </row>
    <row r="205" spans="44:51" ht="14.4" x14ac:dyDescent="0.3">
      <c r="AR205"/>
      <c r="AS205"/>
      <c r="AT205"/>
      <c r="AU205"/>
      <c r="AV205"/>
      <c r="AW205"/>
      <c r="AX205"/>
      <c r="AY205"/>
    </row>
    <row r="206" spans="44:51" ht="14.4" x14ac:dyDescent="0.3">
      <c r="AR206"/>
      <c r="AS206"/>
      <c r="AT206"/>
      <c r="AU206"/>
      <c r="AV206"/>
      <c r="AW206"/>
      <c r="AX206"/>
      <c r="AY206"/>
    </row>
    <row r="207" spans="44:51" ht="14.4" x14ac:dyDescent="0.3">
      <c r="AR207"/>
      <c r="AS207"/>
      <c r="AT207"/>
      <c r="AU207"/>
      <c r="AV207"/>
      <c r="AW207"/>
      <c r="AX207"/>
      <c r="AY207"/>
    </row>
    <row r="208" spans="44:51" ht="14.4" x14ac:dyDescent="0.3">
      <c r="AR208"/>
      <c r="AS208"/>
      <c r="AT208"/>
      <c r="AU208"/>
      <c r="AV208"/>
      <c r="AW208"/>
      <c r="AX208"/>
      <c r="AY208"/>
    </row>
  </sheetData>
  <mergeCells count="13">
    <mergeCell ref="AC3:BP3"/>
    <mergeCell ref="B98:AB99"/>
    <mergeCell ref="B1:S1"/>
    <mergeCell ref="T1:AB1"/>
    <mergeCell ref="E3:AB3"/>
    <mergeCell ref="B50:AB51"/>
    <mergeCell ref="B3:D3"/>
    <mergeCell ref="B4:AB5"/>
    <mergeCell ref="B25:AB26"/>
    <mergeCell ref="B64:AB65"/>
    <mergeCell ref="B52:AB53"/>
    <mergeCell ref="E22:H23"/>
    <mergeCell ref="C22:D23"/>
  </mergeCells>
  <conditionalFormatting sqref="AC3 AD4:AP4 AC5:AP10 AC11:AC13">
    <cfRule type="cellIs" dxfId="0" priority="21" operator="equal">
      <formula>0</formula>
    </cfRule>
  </conditionalFormatting>
  <printOptions horizontalCentered="1"/>
  <pageMargins left="0.39370078740157483" right="0.39370078740157483" top="0.35433070866141736" bottom="0.35433070866141736" header="0.31496062992125984" footer="0.31496062992125984"/>
  <pageSetup scale="67" orientation="landscape" r:id="rId6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S54"/>
  <sheetViews>
    <sheetView topLeftCell="A8" workbookViewId="0">
      <selection activeCell="B21" sqref="B21:D21"/>
    </sheetView>
  </sheetViews>
  <sheetFormatPr baseColWidth="10" defaultColWidth="11.44140625" defaultRowHeight="14.4" x14ac:dyDescent="0.3"/>
  <cols>
    <col min="1" max="1" width="19.21875" bestFit="1" customWidth="1"/>
    <col min="2" max="2" width="19.77734375" customWidth="1"/>
    <col min="3" max="3" width="56.44140625" customWidth="1"/>
    <col min="26" max="26" width="11.44140625" customWidth="1"/>
    <col min="27" max="27" width="16.5546875" hidden="1" customWidth="1"/>
    <col min="28" max="28" width="17.109375" hidden="1" customWidth="1"/>
    <col min="29" max="32" width="11.44140625" hidden="1" customWidth="1"/>
    <col min="33" max="33" width="16.5546875" hidden="1" customWidth="1"/>
    <col min="34" max="34" width="17.109375" hidden="1" customWidth="1"/>
    <col min="35" max="35" width="11.44140625" hidden="1" customWidth="1"/>
    <col min="36" max="36" width="17.109375" hidden="1" customWidth="1"/>
    <col min="37" max="37" width="21.21875" hidden="1" customWidth="1"/>
    <col min="38" max="38" width="8.88671875" hidden="1" customWidth="1"/>
    <col min="39" max="39" width="11.44140625" hidden="1" customWidth="1"/>
    <col min="40" max="40" width="11.77734375" hidden="1" customWidth="1"/>
    <col min="41" max="41" width="9.77734375" hidden="1" customWidth="1"/>
    <col min="42" max="42" width="11.77734375" hidden="1" customWidth="1"/>
    <col min="43" max="46" width="11.44140625" hidden="1" customWidth="1"/>
    <col min="47" max="47" width="16.5546875" hidden="1" customWidth="1"/>
    <col min="48" max="51" width="17.109375" hidden="1" customWidth="1"/>
    <col min="52" max="52" width="8.88671875" hidden="1" customWidth="1"/>
    <col min="53" max="53" width="17.109375" hidden="1" customWidth="1"/>
    <col min="54" max="54" width="21.21875" hidden="1" customWidth="1"/>
    <col min="55" max="55" width="8.88671875" hidden="1" customWidth="1"/>
    <col min="56" max="56" width="11.44140625" hidden="1" customWidth="1"/>
    <col min="57" max="57" width="11.77734375" hidden="1" customWidth="1"/>
    <col min="58" max="58" width="9.77734375" hidden="1" customWidth="1"/>
    <col min="59" max="59" width="11.77734375" hidden="1" customWidth="1"/>
    <col min="60" max="60" width="17.109375" customWidth="1"/>
    <col min="61" max="62" width="22.88671875" customWidth="1"/>
    <col min="63" max="63" width="21.88671875" customWidth="1"/>
    <col min="64" max="72" width="11.44140625" customWidth="1"/>
  </cols>
  <sheetData>
    <row r="1" spans="1:71" x14ac:dyDescent="0.3">
      <c r="A1" s="203" t="s">
        <v>129</v>
      </c>
      <c r="B1" s="203"/>
      <c r="C1" s="203"/>
      <c r="D1" s="203"/>
    </row>
    <row r="2" spans="1:71" ht="34.049999999999997" customHeight="1" x14ac:dyDescent="0.3">
      <c r="A2" s="204" t="s">
        <v>134</v>
      </c>
      <c r="B2" s="205"/>
      <c r="C2" s="205"/>
      <c r="D2" s="205"/>
    </row>
    <row r="4" spans="1:71" x14ac:dyDescent="0.3">
      <c r="A4" s="203" t="s">
        <v>135</v>
      </c>
      <c r="B4" s="203"/>
      <c r="C4" s="203"/>
      <c r="D4" s="203"/>
      <c r="BI4" s="54"/>
      <c r="BJ4" s="54"/>
      <c r="BK4" s="54"/>
      <c r="BL4" s="54"/>
      <c r="BM4" s="54"/>
      <c r="BN4" s="54"/>
    </row>
    <row r="5" spans="1:71" x14ac:dyDescent="0.3">
      <c r="A5" s="24" t="s">
        <v>30</v>
      </c>
      <c r="B5" s="207" t="s">
        <v>31</v>
      </c>
      <c r="C5" s="208"/>
      <c r="D5" s="209"/>
      <c r="AA5" s="17" t="s">
        <v>1</v>
      </c>
      <c r="AB5" t="s">
        <v>2</v>
      </c>
      <c r="BI5" s="54">
        <f>IFERROR(VLOOKUP("EMPRESA DESAFILIADA",AD6:AE10,2,FALSE),0)</f>
        <v>0</v>
      </c>
      <c r="BJ5" s="54"/>
      <c r="BK5" s="54" t="str">
        <f>+BK7&amp;" %"</f>
        <v>60 %</v>
      </c>
      <c r="BL5" s="54"/>
      <c r="BM5" s="54"/>
      <c r="BN5" s="54"/>
      <c r="BO5" s="54"/>
      <c r="BP5" s="54"/>
      <c r="BQ5" s="54"/>
      <c r="BR5" s="54"/>
      <c r="BS5" s="54"/>
    </row>
    <row r="6" spans="1:71" ht="27.6" x14ac:dyDescent="0.3">
      <c r="A6" s="25" t="s">
        <v>32</v>
      </c>
      <c r="B6" s="177" t="s">
        <v>136</v>
      </c>
      <c r="C6" s="178"/>
      <c r="D6" s="179"/>
      <c r="AA6" s="18" t="s">
        <v>78</v>
      </c>
      <c r="AB6">
        <v>1</v>
      </c>
      <c r="AD6" t="str">
        <f>+AA6</f>
        <v>ABIERTO</v>
      </c>
      <c r="AE6">
        <f>+AB6</f>
        <v>1</v>
      </c>
      <c r="AG6" s="17" t="s">
        <v>1</v>
      </c>
      <c r="AH6" t="s">
        <v>2</v>
      </c>
      <c r="AJ6" s="17" t="s">
        <v>2</v>
      </c>
      <c r="AK6" s="17" t="s">
        <v>3</v>
      </c>
      <c r="AU6" s="17" t="s">
        <v>1</v>
      </c>
      <c r="AV6" t="s">
        <v>2</v>
      </c>
      <c r="BA6" s="17" t="s">
        <v>2</v>
      </c>
      <c r="BB6" s="17" t="s">
        <v>3</v>
      </c>
      <c r="BI6" s="54" t="s">
        <v>93</v>
      </c>
      <c r="BJ6" s="54" t="s">
        <v>102</v>
      </c>
      <c r="BK6" s="54" t="s">
        <v>94</v>
      </c>
      <c r="BL6" s="54" t="s">
        <v>95</v>
      </c>
      <c r="BM6" s="54" t="s">
        <v>96</v>
      </c>
      <c r="BN6" s="54"/>
      <c r="BO6" s="54" t="s">
        <v>97</v>
      </c>
      <c r="BP6" s="54" t="s">
        <v>98</v>
      </c>
      <c r="BQ6" s="54" t="s">
        <v>99</v>
      </c>
      <c r="BR6" s="54" t="s">
        <v>100</v>
      </c>
      <c r="BS6" s="54" t="s">
        <v>101</v>
      </c>
    </row>
    <row r="7" spans="1:71" ht="27.6" x14ac:dyDescent="0.3">
      <c r="A7" s="8" t="s">
        <v>18</v>
      </c>
      <c r="B7" s="177" t="s">
        <v>137</v>
      </c>
      <c r="C7" s="178"/>
      <c r="D7" s="179"/>
      <c r="AA7" s="18" t="s">
        <v>79</v>
      </c>
      <c r="AB7">
        <v>3</v>
      </c>
      <c r="AD7" t="str">
        <f t="shared" ref="AD7:AE10" si="0">+AA7</f>
        <v>CERRADO</v>
      </c>
      <c r="AE7">
        <f t="shared" si="0"/>
        <v>3</v>
      </c>
      <c r="AG7" s="18" t="s">
        <v>103</v>
      </c>
      <c r="AH7">
        <v>2</v>
      </c>
      <c r="AJ7" s="17" t="s">
        <v>1</v>
      </c>
      <c r="AK7" t="s">
        <v>78</v>
      </c>
      <c r="AL7" t="s">
        <v>79</v>
      </c>
      <c r="AM7" t="s">
        <v>6</v>
      </c>
      <c r="AN7" t="s">
        <v>9</v>
      </c>
      <c r="AU7" s="18" t="s">
        <v>84</v>
      </c>
      <c r="AV7">
        <v>2</v>
      </c>
      <c r="BA7" s="17" t="s">
        <v>1</v>
      </c>
      <c r="BB7" t="s">
        <v>78</v>
      </c>
      <c r="BC7" t="s">
        <v>79</v>
      </c>
      <c r="BD7" t="s">
        <v>6</v>
      </c>
      <c r="BE7" t="s">
        <v>9</v>
      </c>
      <c r="BI7" s="54">
        <f>+SUM(AE11,-BI5)</f>
        <v>5</v>
      </c>
      <c r="BJ7" s="54">
        <f>IFERROR(+SUM(VLOOKUP("CERRADO",AD6:AE10,2,FALSE)),0)</f>
        <v>3</v>
      </c>
      <c r="BK7" s="54">
        <f>+IFERROR(INT((BJ7/BI7)*100),0)</f>
        <v>60</v>
      </c>
      <c r="BL7" s="54">
        <v>2</v>
      </c>
      <c r="BM7" s="54">
        <f>+SUM(BO7:BS7)-BL7-BK7</f>
        <v>138</v>
      </c>
      <c r="BN7" s="54"/>
      <c r="BO7" s="54">
        <v>25</v>
      </c>
      <c r="BP7" s="54">
        <v>25</v>
      </c>
      <c r="BQ7" s="54">
        <v>25</v>
      </c>
      <c r="BR7" s="54">
        <v>25</v>
      </c>
      <c r="BS7" s="54">
        <v>100</v>
      </c>
    </row>
    <row r="8" spans="1:71" ht="28.05" customHeight="1" x14ac:dyDescent="0.3">
      <c r="A8" s="8" t="s">
        <v>19</v>
      </c>
      <c r="B8" s="177" t="s">
        <v>138</v>
      </c>
      <c r="C8" s="178"/>
      <c r="D8" s="179"/>
      <c r="AA8" s="18" t="s">
        <v>6</v>
      </c>
      <c r="AB8">
        <v>1</v>
      </c>
      <c r="AD8" t="str">
        <f t="shared" si="0"/>
        <v>EN PROCESO</v>
      </c>
      <c r="AE8">
        <f t="shared" si="0"/>
        <v>1</v>
      </c>
      <c r="AG8" s="18" t="s">
        <v>104</v>
      </c>
      <c r="AH8">
        <v>2</v>
      </c>
      <c r="AJ8" s="18" t="s">
        <v>103</v>
      </c>
      <c r="AK8" s="33">
        <v>0.5</v>
      </c>
      <c r="AL8" s="33">
        <v>0.5</v>
      </c>
      <c r="AM8" s="33">
        <v>0</v>
      </c>
      <c r="AN8" s="33">
        <v>1</v>
      </c>
      <c r="AU8" s="18" t="s">
        <v>86</v>
      </c>
      <c r="AV8">
        <v>1</v>
      </c>
      <c r="BA8" s="18" t="s">
        <v>84</v>
      </c>
      <c r="BB8" s="33">
        <v>0.5</v>
      </c>
      <c r="BC8" s="33">
        <v>0</v>
      </c>
      <c r="BD8" s="33">
        <v>0.5</v>
      </c>
      <c r="BE8" s="33">
        <v>1</v>
      </c>
      <c r="BI8" s="54"/>
      <c r="BJ8" s="54"/>
      <c r="BK8" s="54"/>
      <c r="BL8" s="54"/>
      <c r="BM8" s="54"/>
      <c r="BN8" s="54"/>
    </row>
    <row r="9" spans="1:71" ht="27.6" x14ac:dyDescent="0.3">
      <c r="A9" s="25" t="s">
        <v>17</v>
      </c>
      <c r="B9" s="168" t="s">
        <v>33</v>
      </c>
      <c r="C9" s="168"/>
      <c r="D9" s="168"/>
      <c r="AD9">
        <f t="shared" si="0"/>
        <v>0</v>
      </c>
      <c r="AE9">
        <f t="shared" si="0"/>
        <v>0</v>
      </c>
      <c r="AG9" s="18" t="s">
        <v>105</v>
      </c>
      <c r="AH9">
        <v>1</v>
      </c>
      <c r="AJ9" s="18" t="s">
        <v>104</v>
      </c>
      <c r="AK9" s="33">
        <v>0</v>
      </c>
      <c r="AL9" s="33">
        <v>0.5</v>
      </c>
      <c r="AM9" s="33">
        <v>0.5</v>
      </c>
      <c r="AN9" s="33">
        <v>1</v>
      </c>
      <c r="AU9" s="18" t="s">
        <v>85</v>
      </c>
      <c r="AV9">
        <v>2</v>
      </c>
      <c r="BA9" s="18" t="s">
        <v>86</v>
      </c>
      <c r="BB9" s="33">
        <v>0</v>
      </c>
      <c r="BC9" s="33">
        <v>1</v>
      </c>
      <c r="BD9" s="33">
        <v>0</v>
      </c>
      <c r="BE9" s="33">
        <v>1</v>
      </c>
      <c r="BI9" s="54"/>
      <c r="BJ9" s="54"/>
      <c r="BK9" s="54"/>
      <c r="BL9" s="54"/>
      <c r="BM9" s="54"/>
      <c r="BN9" s="54"/>
    </row>
    <row r="10" spans="1:71" x14ac:dyDescent="0.3">
      <c r="A10" s="206" t="s">
        <v>81</v>
      </c>
      <c r="B10" s="168" t="s">
        <v>84</v>
      </c>
      <c r="C10" s="168"/>
      <c r="D10" s="168"/>
      <c r="AD10">
        <f t="shared" si="0"/>
        <v>0</v>
      </c>
      <c r="AE10">
        <f t="shared" si="0"/>
        <v>0</v>
      </c>
      <c r="AJ10" s="18" t="s">
        <v>105</v>
      </c>
      <c r="AK10" s="33">
        <v>0</v>
      </c>
      <c r="AL10" s="33">
        <v>1</v>
      </c>
      <c r="AM10" s="33">
        <v>0</v>
      </c>
      <c r="AN10" s="33">
        <v>1</v>
      </c>
      <c r="BA10" s="18" t="s">
        <v>85</v>
      </c>
      <c r="BB10" s="33">
        <v>0</v>
      </c>
      <c r="BC10" s="33">
        <v>1</v>
      </c>
      <c r="BD10" s="33">
        <v>0</v>
      </c>
      <c r="BE10" s="33">
        <v>1</v>
      </c>
    </row>
    <row r="11" spans="1:71" x14ac:dyDescent="0.3">
      <c r="A11" s="206"/>
      <c r="B11" s="168" t="s">
        <v>144</v>
      </c>
      <c r="C11" s="168"/>
      <c r="D11" s="168"/>
      <c r="AE11">
        <f>+SUM(AE6:AE10)</f>
        <v>5</v>
      </c>
    </row>
    <row r="12" spans="1:71" x14ac:dyDescent="0.3">
      <c r="A12" s="206"/>
      <c r="B12" s="168" t="s">
        <v>112</v>
      </c>
      <c r="C12" s="168"/>
      <c r="D12" s="168"/>
    </row>
    <row r="13" spans="1:71" x14ac:dyDescent="0.3">
      <c r="A13" s="206"/>
      <c r="B13" s="168" t="s">
        <v>113</v>
      </c>
      <c r="C13" s="168"/>
      <c r="D13" s="168"/>
    </row>
    <row r="14" spans="1:71" x14ac:dyDescent="0.3">
      <c r="A14" s="206"/>
      <c r="B14" s="168" t="s">
        <v>86</v>
      </c>
      <c r="C14" s="168"/>
      <c r="D14" s="168"/>
    </row>
    <row r="15" spans="1:71" x14ac:dyDescent="0.3">
      <c r="A15" s="206"/>
      <c r="B15" s="168" t="s">
        <v>149</v>
      </c>
      <c r="C15" s="168"/>
      <c r="D15" s="168"/>
    </row>
    <row r="16" spans="1:71" x14ac:dyDescent="0.3">
      <c r="A16" s="206"/>
      <c r="B16" s="168" t="s">
        <v>114</v>
      </c>
      <c r="C16" s="168"/>
      <c r="D16" s="168"/>
    </row>
    <row r="17" spans="1:27" x14ac:dyDescent="0.3">
      <c r="A17" s="206"/>
      <c r="B17" s="168" t="s">
        <v>115</v>
      </c>
      <c r="C17" s="168"/>
      <c r="D17" s="168"/>
      <c r="AA17" t="s">
        <v>2</v>
      </c>
    </row>
    <row r="18" spans="1:27" x14ac:dyDescent="0.3">
      <c r="A18" s="206"/>
      <c r="B18" s="168" t="s">
        <v>116</v>
      </c>
      <c r="C18" s="168"/>
      <c r="D18" s="168"/>
      <c r="AA18">
        <v>5</v>
      </c>
    </row>
    <row r="19" spans="1:27" x14ac:dyDescent="0.3">
      <c r="A19" s="206"/>
      <c r="B19" s="168" t="s">
        <v>110</v>
      </c>
      <c r="C19" s="168"/>
      <c r="D19" s="168"/>
    </row>
    <row r="20" spans="1:27" x14ac:dyDescent="0.3">
      <c r="A20" s="206"/>
      <c r="B20" s="168" t="s">
        <v>117</v>
      </c>
      <c r="C20" s="168"/>
      <c r="D20" s="168"/>
    </row>
    <row r="21" spans="1:27" x14ac:dyDescent="0.3">
      <c r="A21" s="206"/>
      <c r="B21" s="168" t="s">
        <v>118</v>
      </c>
      <c r="C21" s="168"/>
      <c r="D21" s="168"/>
    </row>
    <row r="22" spans="1:27" x14ac:dyDescent="0.3">
      <c r="A22" s="206"/>
      <c r="B22" s="168" t="s">
        <v>119</v>
      </c>
      <c r="C22" s="168"/>
      <c r="D22" s="168"/>
    </row>
    <row r="23" spans="1:27" x14ac:dyDescent="0.3">
      <c r="A23" s="206"/>
      <c r="B23" s="71" t="s">
        <v>145</v>
      </c>
      <c r="C23" s="71"/>
      <c r="D23" s="71"/>
    </row>
    <row r="24" spans="1:27" x14ac:dyDescent="0.3">
      <c r="A24" s="206"/>
      <c r="B24" s="71" t="s">
        <v>146</v>
      </c>
      <c r="C24" s="71"/>
      <c r="D24" s="71"/>
    </row>
    <row r="25" spans="1:27" x14ac:dyDescent="0.3">
      <c r="A25" s="206"/>
      <c r="B25" s="74" t="s">
        <v>147</v>
      </c>
      <c r="C25" s="72"/>
      <c r="D25" s="73"/>
    </row>
    <row r="26" spans="1:27" x14ac:dyDescent="0.3">
      <c r="A26" s="206"/>
      <c r="B26" s="74" t="s">
        <v>148</v>
      </c>
      <c r="C26" s="72"/>
      <c r="D26" s="73"/>
    </row>
    <row r="27" spans="1:27" x14ac:dyDescent="0.3">
      <c r="A27" s="206"/>
      <c r="B27" s="74"/>
      <c r="C27" s="72"/>
      <c r="D27" s="73"/>
    </row>
    <row r="28" spans="1:27" x14ac:dyDescent="0.3">
      <c r="A28" s="206"/>
      <c r="B28" s="177" t="s">
        <v>111</v>
      </c>
      <c r="C28" s="178"/>
      <c r="D28" s="179"/>
    </row>
    <row r="29" spans="1:27" x14ac:dyDescent="0.3">
      <c r="A29" s="8" t="s">
        <v>20</v>
      </c>
      <c r="B29" s="172" t="s">
        <v>34</v>
      </c>
      <c r="C29" s="173"/>
      <c r="D29" s="174"/>
    </row>
    <row r="30" spans="1:27" ht="79.5" customHeight="1" x14ac:dyDescent="0.3">
      <c r="A30" s="9" t="s">
        <v>21</v>
      </c>
      <c r="B30" s="25" t="s">
        <v>35</v>
      </c>
      <c r="C30" s="177" t="s">
        <v>36</v>
      </c>
      <c r="D30" s="179"/>
    </row>
    <row r="31" spans="1:27" ht="27" customHeight="1" x14ac:dyDescent="0.3">
      <c r="A31" s="9" t="s">
        <v>37</v>
      </c>
      <c r="B31" s="177" t="s">
        <v>139</v>
      </c>
      <c r="C31" s="178"/>
      <c r="D31" s="179"/>
    </row>
    <row r="32" spans="1:27" ht="42.45" customHeight="1" x14ac:dyDescent="0.3">
      <c r="A32" s="169" t="s">
        <v>23</v>
      </c>
      <c r="B32" s="36" t="s">
        <v>8</v>
      </c>
      <c r="C32" s="180" t="s">
        <v>38</v>
      </c>
      <c r="D32" s="181"/>
    </row>
    <row r="33" spans="1:4" ht="57.45" customHeight="1" x14ac:dyDescent="0.3">
      <c r="A33" s="170"/>
      <c r="B33" s="34" t="s">
        <v>10</v>
      </c>
      <c r="C33" s="182" t="s">
        <v>39</v>
      </c>
      <c r="D33" s="183"/>
    </row>
    <row r="34" spans="1:4" ht="65.55" customHeight="1" x14ac:dyDescent="0.3">
      <c r="A34" s="171"/>
      <c r="B34" s="35" t="s">
        <v>7</v>
      </c>
      <c r="C34" s="184" t="s">
        <v>40</v>
      </c>
      <c r="D34" s="185"/>
    </row>
    <row r="35" spans="1:4" ht="31.05" customHeight="1" x14ac:dyDescent="0.3">
      <c r="A35" s="196" t="s">
        <v>57</v>
      </c>
      <c r="B35" s="66" t="s">
        <v>107</v>
      </c>
      <c r="C35" s="199" t="s">
        <v>142</v>
      </c>
      <c r="D35" s="200"/>
    </row>
    <row r="36" spans="1:4" ht="31.05" customHeight="1" x14ac:dyDescent="0.3">
      <c r="A36" s="197"/>
      <c r="B36" s="66" t="s">
        <v>108</v>
      </c>
      <c r="C36" s="178" t="s">
        <v>141</v>
      </c>
      <c r="D36" s="179"/>
    </row>
    <row r="37" spans="1:4" ht="31.05" customHeight="1" x14ac:dyDescent="0.3">
      <c r="A37" s="198"/>
      <c r="B37" s="66" t="s">
        <v>109</v>
      </c>
      <c r="C37" s="178" t="s">
        <v>140</v>
      </c>
      <c r="D37" s="179"/>
    </row>
    <row r="38" spans="1:4" ht="31.05" customHeight="1" x14ac:dyDescent="0.3">
      <c r="A38" s="8" t="s">
        <v>24</v>
      </c>
      <c r="B38" s="172" t="s">
        <v>41</v>
      </c>
      <c r="C38" s="173"/>
      <c r="D38" s="174"/>
    </row>
    <row r="39" spans="1:4" ht="28.8" x14ac:dyDescent="0.3">
      <c r="A39" s="67" t="s">
        <v>56</v>
      </c>
      <c r="B39" s="172" t="s">
        <v>120</v>
      </c>
      <c r="C39" s="173"/>
      <c r="D39" s="174"/>
    </row>
    <row r="40" spans="1:4" ht="27.45" customHeight="1" x14ac:dyDescent="0.3">
      <c r="A40" s="25" t="s">
        <v>125</v>
      </c>
      <c r="B40" s="177" t="s">
        <v>42</v>
      </c>
      <c r="C40" s="178"/>
      <c r="D40" s="179"/>
    </row>
    <row r="41" spans="1:4" ht="27.45" customHeight="1" x14ac:dyDescent="0.3">
      <c r="A41" s="8" t="s">
        <v>43</v>
      </c>
      <c r="B41" s="172" t="s">
        <v>44</v>
      </c>
      <c r="C41" s="173"/>
      <c r="D41" s="174"/>
    </row>
    <row r="42" spans="1:4" ht="27.45" customHeight="1" x14ac:dyDescent="0.3">
      <c r="A42" s="25" t="s">
        <v>143</v>
      </c>
      <c r="B42" s="168" t="s">
        <v>45</v>
      </c>
      <c r="C42" s="168"/>
      <c r="D42" s="168"/>
    </row>
    <row r="43" spans="1:4" ht="19.95" customHeight="1" x14ac:dyDescent="0.3">
      <c r="A43" s="202" t="s">
        <v>46</v>
      </c>
      <c r="B43" s="37" t="s">
        <v>78</v>
      </c>
      <c r="C43" s="175" t="s">
        <v>47</v>
      </c>
      <c r="D43" s="175"/>
    </row>
    <row r="44" spans="1:4" ht="19.95" customHeight="1" x14ac:dyDescent="0.3">
      <c r="A44" s="189"/>
      <c r="B44" s="38" t="s">
        <v>6</v>
      </c>
      <c r="C44" s="176" t="s">
        <v>48</v>
      </c>
      <c r="D44" s="176"/>
    </row>
    <row r="45" spans="1:4" ht="19.95" customHeight="1" x14ac:dyDescent="0.3">
      <c r="A45" s="189"/>
      <c r="B45" s="39" t="s">
        <v>79</v>
      </c>
      <c r="C45" s="187" t="s">
        <v>49</v>
      </c>
      <c r="D45" s="187"/>
    </row>
    <row r="46" spans="1:4" ht="29.55" customHeight="1" x14ac:dyDescent="0.3">
      <c r="A46" s="189"/>
      <c r="B46" s="68" t="s">
        <v>80</v>
      </c>
      <c r="C46" s="201" t="s">
        <v>50</v>
      </c>
      <c r="D46" s="201"/>
    </row>
    <row r="47" spans="1:4" ht="36" customHeight="1" x14ac:dyDescent="0.3">
      <c r="A47" s="189"/>
      <c r="B47" s="40" t="s">
        <v>51</v>
      </c>
      <c r="C47" s="186" t="s">
        <v>52</v>
      </c>
      <c r="D47" s="186"/>
    </row>
    <row r="50" spans="1:4" ht="14.55" customHeight="1" x14ac:dyDescent="0.3">
      <c r="A50" s="188" t="s">
        <v>121</v>
      </c>
      <c r="B50" s="189"/>
      <c r="C50" s="190" t="s">
        <v>122</v>
      </c>
      <c r="D50" s="191"/>
    </row>
    <row r="51" spans="1:4" x14ac:dyDescent="0.3">
      <c r="A51" s="188"/>
      <c r="B51" s="189"/>
      <c r="C51" s="192"/>
      <c r="D51" s="193"/>
    </row>
    <row r="52" spans="1:4" x14ac:dyDescent="0.3">
      <c r="A52" s="188"/>
      <c r="B52" s="189"/>
      <c r="C52" s="192"/>
      <c r="D52" s="193"/>
    </row>
    <row r="53" spans="1:4" x14ac:dyDescent="0.3">
      <c r="A53" s="188"/>
      <c r="B53" s="189"/>
      <c r="C53" s="192"/>
      <c r="D53" s="193"/>
    </row>
    <row r="54" spans="1:4" x14ac:dyDescent="0.3">
      <c r="A54" s="188"/>
      <c r="B54" s="189"/>
      <c r="C54" s="194"/>
      <c r="D54" s="195"/>
    </row>
  </sheetData>
  <mergeCells count="47">
    <mergeCell ref="A1:D1"/>
    <mergeCell ref="A2:D2"/>
    <mergeCell ref="A10:A28"/>
    <mergeCell ref="B10:D10"/>
    <mergeCell ref="B11:D11"/>
    <mergeCell ref="B12:D12"/>
    <mergeCell ref="B13:D13"/>
    <mergeCell ref="B14:D14"/>
    <mergeCell ref="B15:D15"/>
    <mergeCell ref="B16:D16"/>
    <mergeCell ref="A4:D4"/>
    <mergeCell ref="B6:D6"/>
    <mergeCell ref="B5:D5"/>
    <mergeCell ref="B9:D9"/>
    <mergeCell ref="B7:D7"/>
    <mergeCell ref="B8:D8"/>
    <mergeCell ref="A50:B54"/>
    <mergeCell ref="C50:D54"/>
    <mergeCell ref="A35:A37"/>
    <mergeCell ref="C35:D35"/>
    <mergeCell ref="C36:D36"/>
    <mergeCell ref="C37:D37"/>
    <mergeCell ref="C46:D46"/>
    <mergeCell ref="A43:A47"/>
    <mergeCell ref="B22:D22"/>
    <mergeCell ref="B28:D28"/>
    <mergeCell ref="C47:D47"/>
    <mergeCell ref="B29:D29"/>
    <mergeCell ref="C30:D30"/>
    <mergeCell ref="B38:D38"/>
    <mergeCell ref="C45:D45"/>
    <mergeCell ref="B31:D31"/>
    <mergeCell ref="A32:A34"/>
    <mergeCell ref="B41:D41"/>
    <mergeCell ref="B42:D42"/>
    <mergeCell ref="C43:D43"/>
    <mergeCell ref="C44:D44"/>
    <mergeCell ref="B40:D40"/>
    <mergeCell ref="C32:D32"/>
    <mergeCell ref="C33:D33"/>
    <mergeCell ref="C34:D34"/>
    <mergeCell ref="B39:D39"/>
    <mergeCell ref="B21:D21"/>
    <mergeCell ref="B17:D17"/>
    <mergeCell ref="B18:D18"/>
    <mergeCell ref="B19:D19"/>
    <mergeCell ref="B20:D20"/>
  </mergeCells>
  <pageMargins left="0.7" right="0.7" top="0.75" bottom="0.75" header="0.3" footer="0.3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063B91FD2FC9498D8FAD8B2CB3018D" ma:contentTypeVersion="16" ma:contentTypeDescription="Create a new document." ma:contentTypeScope="" ma:versionID="c38a5b857703ead8f5b431b06a1d451a">
  <xsd:schema xmlns:xsd="http://www.w3.org/2001/XMLSchema" xmlns:xs="http://www.w3.org/2001/XMLSchema" xmlns:p="http://schemas.microsoft.com/office/2006/metadata/properties" xmlns:ns3="af4e21ba-d3b6-4883-a3bd-3aead9af2970" xmlns:ns4="f909ac9e-6da5-4706-acee-3f91dac5af01" targetNamespace="http://schemas.microsoft.com/office/2006/metadata/properties" ma:root="true" ma:fieldsID="06bae832f3b01bdbc8f49188e73b7db9" ns3:_="" ns4:_="">
    <xsd:import namespace="af4e21ba-d3b6-4883-a3bd-3aead9af2970"/>
    <xsd:import namespace="f909ac9e-6da5-4706-acee-3f91dac5af0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4e21ba-d3b6-4883-a3bd-3aead9af29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09ac9e-6da5-4706-acee-3f91dac5af0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4e21ba-d3b6-4883-a3bd-3aead9af2970" xsi:nil="true"/>
  </documentManagement>
</p:properties>
</file>

<file path=customXml/itemProps1.xml><?xml version="1.0" encoding="utf-8"?>
<ds:datastoreItem xmlns:ds="http://schemas.openxmlformats.org/officeDocument/2006/customXml" ds:itemID="{008F8AA1-C097-4C5B-BF80-DDAF48390D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7C787F6-AAB9-4369-A7A7-51EAEAC3F5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4e21ba-d3b6-4883-a3bd-3aead9af2970"/>
    <ds:schemaRef ds:uri="f909ac9e-6da5-4706-acee-3f91dac5af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25B87FF-23AD-430B-BAA6-35C9B4BCDA7E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terms/"/>
    <ds:schemaRef ds:uri="http://purl.org/dc/elements/1.1/"/>
    <ds:schemaRef ds:uri="http://schemas.openxmlformats.org/package/2006/metadata/core-properties"/>
    <ds:schemaRef ds:uri="f909ac9e-6da5-4706-acee-3f91dac5af01"/>
    <ds:schemaRef ds:uri="af4e21ba-d3b6-4883-a3bd-3aead9af2970"/>
  </ds:schemaRefs>
</ds:datastoreItem>
</file>

<file path=docMetadata/LabelInfo.xml><?xml version="1.0" encoding="utf-8"?>
<clbl:labelList xmlns:clbl="http://schemas.microsoft.com/office/2020/mipLabelMetadata">
  <clbl:label id="{3c0bd4fe-1111-4d13-8e0c-7c33b9eb7581}" enabled="0" method="" siteId="{3c0bd4fe-1111-4d13-8e0c-7c33b9eb758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5</vt:i4>
      </vt:variant>
    </vt:vector>
  </HeadingPairs>
  <TitlesOfParts>
    <vt:vector size="9" baseType="lpstr">
      <vt:lpstr>Portada</vt:lpstr>
      <vt:lpstr>Matriz mejoras</vt:lpstr>
      <vt:lpstr>Gráficas</vt:lpstr>
      <vt:lpstr>Metodología y Marco Teórico</vt:lpstr>
      <vt:lpstr>Gráficas!Área_de_impresión</vt:lpstr>
      <vt:lpstr>'Matriz mejoras'!Área_de_impresión</vt:lpstr>
      <vt:lpstr>Portada!Área_de_impresión</vt:lpstr>
      <vt:lpstr>Gráficas!Títulos_a_imprimir</vt:lpstr>
      <vt:lpstr>'Matriz mejoras'!Títulos_a_imprimir</vt:lpstr>
    </vt:vector>
  </TitlesOfParts>
  <Manager/>
  <Company>Suramericana S.A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Fabian Ricardo Robayo Suarez</dc:creator>
  <cp:keywords/>
  <dc:description/>
  <cp:lastModifiedBy>jose agustin cortes h</cp:lastModifiedBy>
  <cp:revision/>
  <cp:lastPrinted>2025-06-18T02:46:59Z</cp:lastPrinted>
  <dcterms:created xsi:type="dcterms:W3CDTF">2021-05-27T03:56:28Z</dcterms:created>
  <dcterms:modified xsi:type="dcterms:W3CDTF">2026-01-08T18:34:46Z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0x010100C6063B91FD2FC9498D8FAD8B2CB3018D</vt:lpwstr>
  </property>
  <property fmtid="{D5CDD505-2E9C-101B-9397-08002B2CF9AE}" pid="5" name="MediaServiceImageTags">
    <vt:lpwstr/>
  </property>
</Properties>
</file>