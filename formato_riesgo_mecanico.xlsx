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INEAS BASE\"/>
    </mc:Choice>
  </mc:AlternateContent>
  <xr:revisionPtr revIDLastSave="0" documentId="8_{767ED48F-D453-4101-A583-FEAB33F3DB3C}" xr6:coauthVersionLast="46" xr6:coauthVersionMax="46" xr10:uidLastSave="{00000000-0000-0000-0000-000000000000}"/>
  <bookViews>
    <workbookView xWindow="-108" yWindow="-108" windowWidth="23256" windowHeight="12576" tabRatio="903" xr2:uid="{00000000-000D-0000-FFFF-FFFF00000000}"/>
  </bookViews>
  <sheets>
    <sheet name="Portada" sheetId="20" r:id="rId1"/>
    <sheet name="Línea Basal" sheetId="16" r:id="rId2"/>
    <sheet name="Res general" sheetId="27" r:id="rId3"/>
    <sheet name="Res Programa" sheetId="19" r:id="rId4"/>
    <sheet name="Res trabajadores" sheetId="26" r:id="rId5"/>
    <sheet name="Res cultura" sheetId="25" r:id="rId6"/>
    <sheet name="Res máquinas" sheetId="24" r:id="rId7"/>
    <sheet name="Res herramientas" sheetId="23" r:id="rId8"/>
    <sheet name="Res Energías" sheetId="22" r:id="rId9"/>
    <sheet name="Res Mejora" sheetId="21" r:id="rId10"/>
    <sheet name="Lista" sheetId="18" state="hidden" r:id="rId11"/>
  </sheets>
  <externalReferences>
    <externalReference r:id="rId12"/>
  </externalReferences>
  <definedNames>
    <definedName name="_1Sin_nombre">[1]DATOS!$A$1:$L$143</definedName>
    <definedName name="_xlnm._FilterDatabase" localSheetId="1" hidden="1">'Línea Basal'!$A$4:$H$54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6" l="1"/>
  <c r="H7" i="16"/>
  <c r="H14" i="16" l="1"/>
  <c r="H13" i="16"/>
  <c r="H12" i="16"/>
  <c r="H11" i="16"/>
  <c r="H10" i="16"/>
  <c r="H8" i="16"/>
  <c r="H6" i="16"/>
  <c r="H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C9" i="27" l="1"/>
  <c r="C6" i="27"/>
  <c r="C5" i="27"/>
  <c r="C8" i="27"/>
  <c r="C10" i="27"/>
  <c r="C11" i="27"/>
  <c r="H15" i="16"/>
  <c r="C7" i="27" s="1"/>
  <c r="C12" i="27" l="1"/>
</calcChain>
</file>

<file path=xl/sharedStrings.xml><?xml version="1.0" encoding="utf-8"?>
<sst xmlns="http://schemas.openxmlformats.org/spreadsheetml/2006/main" count="395" uniqueCount="242">
  <si>
    <t>EVIDENCIA ENCONTRADA</t>
  </si>
  <si>
    <t>Se tiene definido y divulgado el procedimiento para el Bloqueo / Etiquetado de energías peligrosas?</t>
  </si>
  <si>
    <t>Se han adquirido los elementos para el bloqueo y etiquetado de energías peligrosas según las necesidades identificadas?</t>
  </si>
  <si>
    <t>Se han entregado para uso los elementos para el bloqueo y etiquetado de energías peligrosas de acuerdo con el procedimiento establecido por la empresa?</t>
  </si>
  <si>
    <t>Los puntos para el bloqueo de energías peligrosas se encuentran físicamente identificados en los elementos de aislamiento de las energías?</t>
  </si>
  <si>
    <t>CUMPLIMIENTO
S/N/Parcial</t>
  </si>
  <si>
    <t>Programa</t>
  </si>
  <si>
    <t>Responsabilidades</t>
  </si>
  <si>
    <t>Inspecciones</t>
  </si>
  <si>
    <t>Observaciones comportamiento</t>
  </si>
  <si>
    <t>Matriz peligros</t>
  </si>
  <si>
    <t>Objetivos y metas</t>
  </si>
  <si>
    <t>%</t>
  </si>
  <si>
    <t>LINEA BASAL PROGRAMA RIESGO MECÁNICO</t>
  </si>
  <si>
    <t>Está documentado un Programa para el control del riesgo mecánico?</t>
  </si>
  <si>
    <t>Una vez se han completado los controles operacionales para los peligros identificados en los ARO´s, se ha estandarizado la operación de las máquinas en condiciones de operación normal de las mismas?</t>
  </si>
  <si>
    <t>Se han identificado los peligros y se han gestionado los controles y la estandarización de cómo actuar en caso de condiciones anormales de máquina (bloqueos, atascamientos, enredos, etc..)?</t>
  </si>
  <si>
    <t>Se tiene identificado el inventario y necesidades de herramientas en todas las áreas de la compañía?</t>
  </si>
  <si>
    <t>Se cuenta con una política para restringir el uso de herramientas "hechizas"?</t>
  </si>
  <si>
    <t>Está definido un programa de mantenimiento de herramientas de potencia?</t>
  </si>
  <si>
    <t>Se cuenta con un plan de inspecciones pre-operacionales, periódicas y de inspecciones no planeadas para Herramientas?</t>
  </si>
  <si>
    <t>Se cuenta con un plan de inspecciones pre-operacionales, periódicas y de inspecciones no planeadas para máquinas?</t>
  </si>
  <si>
    <t>Se realiza programa de mantenimiento preventivo / predictivo de máquinas / equipos?</t>
  </si>
  <si>
    <t>Las solicitudes de mantenimiento de condiciones de seguridad de máquinas / equipos son tomadas como de alta prioridad para intervenirlas en el menor tiempo posible?</t>
  </si>
  <si>
    <t>Gestión del cambio</t>
  </si>
  <si>
    <t>Se retira de uso la herramienta defectuosa y se asegura su destrucción para evitar el uso indebido?</t>
  </si>
  <si>
    <t>ELEMENTO DEL PROGRAMA</t>
  </si>
  <si>
    <t>COMPLETA</t>
  </si>
  <si>
    <t>NO IMPLEMENTADO</t>
  </si>
  <si>
    <t>El alcance del programa está definido para el control de riesgo mecánico en máquinas, equipos, herramientas y actividades de servicio / mantenimiento?</t>
  </si>
  <si>
    <t>El programa tiene definidos Objetivos, metas e indicadores de Estructura, Proceso y Resultado?</t>
  </si>
  <si>
    <t>Mantenimiento</t>
  </si>
  <si>
    <t>Disposición final</t>
  </si>
  <si>
    <t>Se aplica el bloqueo y etiquetado de energías peligrosas en las actividades de servicio / mantenimiento?</t>
  </si>
  <si>
    <t>Las inspecciones de máquinas / equipos incluyen la verificación de los dispositivos de seguridad?</t>
  </si>
  <si>
    <t>Reporte de condiciones / comportamientos</t>
  </si>
  <si>
    <t>Se tiene definida una metodología para mantener actualizada la gestión del control del riesgo mecánico ante cambios que se presenten en la organización (ingreso / retiro de máquinas, equipos, herramientas, nuevos procesos de producción, modificaciones a procesos de producción) y es clara la participación de SST en la Gestión del cambio?</t>
  </si>
  <si>
    <t>Necesidades</t>
  </si>
  <si>
    <t>TEMA</t>
  </si>
  <si>
    <t>Alcance</t>
  </si>
  <si>
    <t>Cultura seguridad</t>
  </si>
  <si>
    <t>Normas de seguridad</t>
  </si>
  <si>
    <t>Promoción de temas de seguridad</t>
  </si>
  <si>
    <t>Se premia / castiga el cumplimiento o no con las normas de seguridad?</t>
  </si>
  <si>
    <t>Máquinas</t>
  </si>
  <si>
    <t>Se tienen identificadas las máquinas / equipos críticos desde el punto de vista de producción (flujo de producción) y seguridad?</t>
  </si>
  <si>
    <t>Criticidad</t>
  </si>
  <si>
    <t>Comunicación</t>
  </si>
  <si>
    <t>Herramientas</t>
  </si>
  <si>
    <t>Trabajadores</t>
  </si>
  <si>
    <t>Se evalúa la efectividad de la Inducción y Entrenamiento?</t>
  </si>
  <si>
    <t>Se tiene estructurado un plan de back-ups de trabajadores para las operación de máquinas / equipos / tareas críticas?</t>
  </si>
  <si>
    <t>Se cuenta con un procedimiento de gestión de herramientas: Homologación, Compra, Asignación, Almacenamiento, Uso, Políticas de re-cambio y Disposición final.</t>
  </si>
  <si>
    <t>Se tienen definidas y divulgadas las normas de seguridad para el uso seguro de herramientas (fichas de seguridad)?</t>
  </si>
  <si>
    <t>Entrenamiento</t>
  </si>
  <si>
    <t>Se investigan los Incidentes y Accidentes de trabajo?</t>
  </si>
  <si>
    <t>En la investigación de incidentes / accidentes de Riesgo mecánico, participan las áreas de Producción y de Mantenimiento?</t>
  </si>
  <si>
    <t>SUB-ELEMENTO</t>
  </si>
  <si>
    <t>Documentación</t>
  </si>
  <si>
    <t>Comportamiento</t>
  </si>
  <si>
    <t>Motivación</t>
  </si>
  <si>
    <t>Se cuenta con un programa de reporte de condiciones / comportamientos inseguros?</t>
  </si>
  <si>
    <t>Una vez divulgadas las normas de seguridad / procedimientos / instructivos / prácticas seguras, se utiliza una metodología de Observación de comportamiento u otra similar para la generación de la cultura de seguridad?</t>
  </si>
  <si>
    <t>Inspección</t>
  </si>
  <si>
    <t>Priorización</t>
  </si>
  <si>
    <t>Identificación peligros</t>
  </si>
  <si>
    <t>Operación normal</t>
  </si>
  <si>
    <t>Operación anormal</t>
  </si>
  <si>
    <t>Competencias</t>
  </si>
  <si>
    <t>Inducción</t>
  </si>
  <si>
    <t>Herramientas "hechizas"</t>
  </si>
  <si>
    <t>Retiro</t>
  </si>
  <si>
    <t>Recursos técnicos</t>
  </si>
  <si>
    <t>Aplicación procedimiento</t>
  </si>
  <si>
    <t>Investigación</t>
  </si>
  <si>
    <t>Consolidación de hallazgos</t>
  </si>
  <si>
    <t>Indicador</t>
  </si>
  <si>
    <t>Alta Dirección</t>
  </si>
  <si>
    <t>LINEA BASAL PROGRAMA DE RIESGO MECÁNICO</t>
  </si>
  <si>
    <t>EMPRESA:</t>
  </si>
  <si>
    <t>NOMBRE</t>
  </si>
  <si>
    <t>CARGO</t>
  </si>
  <si>
    <t>Energías peligrosas</t>
  </si>
  <si>
    <t>INTERMEDIO</t>
  </si>
  <si>
    <t>BÁSICO</t>
  </si>
  <si>
    <t>AVANZADO</t>
  </si>
  <si>
    <t>Se ha efectuado el Análisis de Riesgo por Oficio para la operación de máquinas en condiciones normales de operación?</t>
  </si>
  <si>
    <t>Se han divulgado los procedimientos / instructivos estandarizados de operación de máquinas, tanto en operación normal como anormal?</t>
  </si>
  <si>
    <t>ARO</t>
  </si>
  <si>
    <t>FECHA:</t>
  </si>
  <si>
    <t>Se tienen definidos y se aplican perfiles de competencias (técnicas y de aptitudes sico físicas) para los trabajadores que operan máquinas, equipos y herramientas, para el proceso de Selección / contratación?</t>
  </si>
  <si>
    <t>Se tiene definido y en ejecución un programa de formación / entrenamiento en riesgo mecánico para uso seguro de máquinas / equipos y herramientas que refleje las característica específicas de los temas en los que el trabajador se debe formar y entrenar según los equipos, máquinas y herramientas que va a usar?</t>
  </si>
  <si>
    <t>La entrega de máquinas y equipos entre las áreas de Mantenimiento y la usuaria de su servicio se hace aplicando una lista de verificación que incluye verificación de las condiciones de seguridad de máquina (incluyendo estado de los dispositivos de seguridad?)</t>
  </si>
  <si>
    <t>Se audita de manera planeada la aplicación del procedimiento de Control de energías peligrosas?</t>
  </si>
  <si>
    <t>Se tiene definida una estrategia de promoción de la Cultura de seguridad asociada a riesgo mecánico?</t>
  </si>
  <si>
    <t>Se ha efectuado un diagnóstico de máquinas y equipos desde el punto de vista de riesgo mecánico, con cobertura para todas las máquinas y equipos de la compañía?</t>
  </si>
  <si>
    <t>Se han documentado y divulgado las Fichas de control de energías peligrosas (Fichas de bloqueo) para todas las máquinas / equipos de la empresa?</t>
  </si>
  <si>
    <t>Se ha entrenado / re-entrenado anualmente a los trabajadores autorizados para aplicar el procedimiento de bloqueo y etiquetado de energías peligrosas y se ha capacitado a los demás trabajadores en el conocimiento del procedimiento?</t>
  </si>
  <si>
    <t>Se definido un plan de trabajo para la implementación de las mejoras requeridas, identificadas en el diagnóstico de máquinas / herramientas / Energías, y se le hace seguimiento periódico y planeado a éste plan para su cumplimiento y para verificar la efectividad de las acciones implementadas?</t>
  </si>
  <si>
    <t>Se definido un plan de trabajo para la implementación de las mejoras requeridas, identificadas al realizar los ARO´s, y se le hace seguimiento periódico y planeado a éste plan para su cumplimiento y para verificar efectividad de las acciones implementadas?</t>
  </si>
  <si>
    <t>Se definido un plan de trabajo para la implementación de las mejoras requeridas, identificadas en las inspecciones de seguridad, y se le hace seguimiento periódico y planeado a éste plan para su cumplimiento y para verificar efectividad de las acciones implementadas?</t>
  </si>
  <si>
    <t>Se hace seguimiento por parte de la Gerencia Alta / Media a los resultados de éste Indicador y de los resultados de las Observaciones de comportamiento y se toman acciones según los resultados obtenidos?</t>
  </si>
  <si>
    <t>Selección</t>
  </si>
  <si>
    <t>Evaluación Inducción</t>
  </si>
  <si>
    <t>Back up mano de obra crítica</t>
  </si>
  <si>
    <t>Normas</t>
  </si>
  <si>
    <t>Promoción</t>
  </si>
  <si>
    <t>Reconocimiento</t>
  </si>
  <si>
    <t>Reporte</t>
  </si>
  <si>
    <t>Diagnóstico</t>
  </si>
  <si>
    <t>Verif Dispositivos Seguridad</t>
  </si>
  <si>
    <t>Entrega máquinas</t>
  </si>
  <si>
    <t>Prioridad temas seguridad</t>
  </si>
  <si>
    <t>Aro Oper Normal</t>
  </si>
  <si>
    <t>STD Oper Normal</t>
  </si>
  <si>
    <t>STD Oper Anormal</t>
  </si>
  <si>
    <t>Divulgación STD</t>
  </si>
  <si>
    <t>Restricción "hechizas"</t>
  </si>
  <si>
    <t>Procedimiento</t>
  </si>
  <si>
    <t>Fichas de bloqueo</t>
  </si>
  <si>
    <t>Auditoría</t>
  </si>
  <si>
    <t>Compra DB</t>
  </si>
  <si>
    <t>Entrega elementos</t>
  </si>
  <si>
    <t>Aplicación Bloqueo</t>
  </si>
  <si>
    <t>Medición y mejora</t>
  </si>
  <si>
    <t>Investig IT / AT</t>
  </si>
  <si>
    <t>Participantes Investig</t>
  </si>
  <si>
    <t>Consolidación hallazgos</t>
  </si>
  <si>
    <t>Interv x ARO</t>
  </si>
  <si>
    <t>Interv x DX</t>
  </si>
  <si>
    <t>Interv x Reportes</t>
  </si>
  <si>
    <t>Interv x Inspecciones</t>
  </si>
  <si>
    <t>Seguim Alta Dirección</t>
  </si>
  <si>
    <t>ELEMENTO</t>
  </si>
  <si>
    <t>% AVANCE</t>
  </si>
  <si>
    <t>Cultura de seguridad</t>
  </si>
  <si>
    <t>Seguridad con máquinas</t>
  </si>
  <si>
    <t>Seguridad con herramientas</t>
  </si>
  <si>
    <t>Control de energías peligrosas</t>
  </si>
  <si>
    <t xml:space="preserve">TOTAL </t>
  </si>
  <si>
    <t>RESUMEN IMPLEMENTACIÓN PROGRAMA DE RIESGO MECÁNICO</t>
  </si>
  <si>
    <t>EMPRESA</t>
  </si>
  <si>
    <t>ASESOR QUE REALIZA LA LÍNEA BASAL</t>
  </si>
  <si>
    <t>PERSONAS QUE PARTICIPARON EN LA ELABORACIÓN DE LA LÍNEA BASAL</t>
  </si>
  <si>
    <t>LUGAR:</t>
  </si>
  <si>
    <t>OBSERVACIONES / RECOMENDACIONES</t>
  </si>
  <si>
    <t>ALEXANDRA MATEUS C</t>
  </si>
  <si>
    <t>ASESORA ARL SURA</t>
  </si>
  <si>
    <t xml:space="preserve">ARL SURA </t>
  </si>
  <si>
    <t>No se ha definido</t>
  </si>
  <si>
    <t>No se han definido</t>
  </si>
  <si>
    <t xml:space="preserve">Definir los remplazos para las tareas criticas y operación de máquinas que generan riesgo </t>
  </si>
  <si>
    <t>Definir por el instructivo de proceso establecido por la empresa</t>
  </si>
  <si>
    <t>Definir Procedimiento</t>
  </si>
  <si>
    <t>Definir inventario</t>
  </si>
  <si>
    <t>Divulgarlas una vez sean definidas</t>
  </si>
  <si>
    <t>No se han adquirido</t>
  </si>
  <si>
    <t xml:space="preserve">Pendiente </t>
  </si>
  <si>
    <t>No se ha definido, a la fecha no hay diagnóstico</t>
  </si>
  <si>
    <t>COORDINADORA DE TH</t>
  </si>
  <si>
    <t>Evaluar en el inventario de maquinas la prioridad por parte de mantenimiento para intervenir las máquinas y equipos según parámetros de seguridad.</t>
  </si>
  <si>
    <t>Definirlo política</t>
  </si>
  <si>
    <t>RESTAURANTE LA GRANJA TENJO</t>
  </si>
  <si>
    <t>12 DE AGOSTO DE 2020</t>
  </si>
  <si>
    <t xml:space="preserve">Km 12 Via siberia Tenjo </t>
  </si>
  <si>
    <t>NOELIA ZAPATA</t>
  </si>
  <si>
    <t>AUXILIAR TH-SST</t>
  </si>
  <si>
    <t>DEISY GUZMAN</t>
  </si>
  <si>
    <t>JAIRO BELTRAN</t>
  </si>
  <si>
    <t>ENCARGADO DE MANTENIMIENTO</t>
  </si>
  <si>
    <t>No se cuenta con documento</t>
  </si>
  <si>
    <t xml:space="preserve">No se ha definido el alcance </t>
  </si>
  <si>
    <t>Documentar el proceso de acuerdo con el alcance del restaurante</t>
  </si>
  <si>
    <t>El perfil  no lo define</t>
  </si>
  <si>
    <t>No se han definido.</t>
  </si>
  <si>
    <t>Desde seguridad no se han identificado la criticidad de las maquinas</t>
  </si>
  <si>
    <t xml:space="preserve">Se hacen inspecciones visuales, pero no se documenta el proceso </t>
  </si>
  <si>
    <t>Se deja en formato de mantenimiento, pero no se valida dispositivos de seguridad y no firma la persona que opera o recibe</t>
  </si>
  <si>
    <t>Documentar el proceso con los parámetros mínimos de seguridad en entregas de equipos y involucrar a la personal que opera la maquina</t>
  </si>
  <si>
    <t>Gestionar las mejoras de los AROS según hallazgos y consolidar la información para actualizar los estándares.</t>
  </si>
  <si>
    <t>Realizar los documentos y divulgar a la población expuesta</t>
  </si>
  <si>
    <t>Definirlo de acuerdo con inventario</t>
  </si>
  <si>
    <t>Definir de acuerdo con el inventario de herramientas</t>
  </si>
  <si>
    <t>Participa copasst, jefe de área y jefe de mantenimiento cuando el AT esta relacionado con el área</t>
  </si>
  <si>
    <t>se generan inspecciones de acuerdo con el programa del SG-SST</t>
  </si>
  <si>
    <t>Se consolidan para el seguimiento todos los planes de acción de:
- Condiciones y comportamientos reportados
- Planes de acción de Incidentes / Accidentes
- Hallazgos de inspecciones
- Hallazgos de auditorías
- Controles por implementar detectados en los Aros
- Planes de acción de Incidentes / Accidentes de trabajo y Enfermedad laboral asociados a Riesgo mecánico?</t>
  </si>
  <si>
    <t xml:space="preserve">Consolidar en la base de datos todos los hallazgos para riesgo mecánico </t>
  </si>
  <si>
    <t>Indicador cumplir</t>
  </si>
  <si>
    <t>Se lleva Indicador de cumplimiento y efectividad de cierre de planes de acción?</t>
  </si>
  <si>
    <t>Definir indicadores para el programa de riesgo mecánico</t>
  </si>
  <si>
    <t xml:space="preserve">No se ha realizando revisión por la alta dirección </t>
  </si>
  <si>
    <t>Realizar revisión y contemplar todas las variables del requisito descrito</t>
  </si>
  <si>
    <t>Se debe estructura el documento del programa de riesgo mecánico</t>
  </si>
  <si>
    <t>Definir alcance en el programa riesgo mecánico a elaborar</t>
  </si>
  <si>
    <t>Definir objetivos y metas en el programa riesgo mecánico a elaborar</t>
  </si>
  <si>
    <t>No se tiene documentado, se hace algún análisis cuando se presentando las situaciones puntuales</t>
  </si>
  <si>
    <t xml:space="preserve">Se cuenta con perfiles de cargo pero no se contemplan las variables para riesgo mecánico </t>
  </si>
  <si>
    <t>Ajustar perfiles de cargo incluyen las responsabilidades para riesgo mecánico, y/o contemplar la posibilidad de incluir las responsabilidades en el programa de riesgo mecánico a elaborar</t>
  </si>
  <si>
    <t>Se actualiza la Matriz de peligros con los resultados de Incidentes / Accidentes y en la medida en la que se han implementado las acciones para el control del riesgo mecánico y  de energías peligrosas?</t>
  </si>
  <si>
    <t xml:space="preserve">Actualizar la matriz de peligros , donde separe el factor de riesgo mecánico por manejo de herramientas y uso de maquina, valorar independientemente los peligros, y ajustar la descripción de los peligros en vista de las inconsistencias referente a la descripción de los mismo.
se recomienda consolidar en dos matrices independientes para operación y administración </t>
  </si>
  <si>
    <t>Ajustar perfil de competencias para los trabajadores que operan maquinas y equipos</t>
  </si>
  <si>
    <t>Incluir los temas de riesgo mecánico para el personal que maneja maquinas, herramientas y equipos con alcance de temáticas a riesgo mecánico</t>
  </si>
  <si>
    <t>Dejar documentada la evaluación realizada en inducción y re-inducción.
Estructurar el proceso entrenamiento y documentarlo para tareas criticas (ejemplo operación con maquinas)</t>
  </si>
  <si>
    <t>Se han definido las normas básicos (reglas de oro) de seguridad y de comportamiento en Planta de producción y para actividades de mantenimiento y contemplan el uso seguro de herramientas / máquinas / equipos y el control de energías peligrosas y se promociona su cumplimiento frecuentemente?</t>
  </si>
  <si>
    <t>Definir las normas básicas de operación segura para las maquinas según criticidad (Elaborar inventarios de maquinas con valoración por parte de seguridad )</t>
  </si>
  <si>
    <t>Se han desarrollado actividades generales para prevención de riesgos.</t>
  </si>
  <si>
    <t xml:space="preserve">Establecer temas de promoción enfocados a riesgo mecánico para personal de mantenimiento, personal de talleres y cocinas </t>
  </si>
  <si>
    <t>Se hacen llamados de atención para cuando se evidencia incumplimiento en uso EPP</t>
  </si>
  <si>
    <t>Definir metodología y aplicar para validar comportamiento posteriormente</t>
  </si>
  <si>
    <t>Fomentar el reporte en el personal y enfocar temas hacia riesgo mecánico.
Generar estadísticas con los reportes para toma de decisiones</t>
  </si>
  <si>
    <t xml:space="preserve">Establecer en las listas de chequeo los dispositivos de seguridad a inspecciones cuando se realizara el pre operacional </t>
  </si>
  <si>
    <t>Finalizar la estructuración del programa y ampliar el alcance al mantenimiento predictivo</t>
  </si>
  <si>
    <t xml:space="preserve">Las solicitudes son atendidas en la brevedad de acuerdo con disponibilidad del personal de mantenimiento independiente del tema de producción y/o seguridad 
</t>
  </si>
  <si>
    <t>No se han realizado análisis de riesgos.</t>
  </si>
  <si>
    <t>Realizar análisis de riesgos (AROS) de acuerdo con la criticidad de las maquinas e inventario</t>
  </si>
  <si>
    <t xml:space="preserve">No se han elaborado por lo cual esta pendiente la divulgación </t>
  </si>
  <si>
    <t>Se realizan inspecciones  y se lleva registro de las herramientas que tiene cada trabajador. 
A nivel de seguridad no se documenta el proceso de inspección</t>
  </si>
  <si>
    <t xml:space="preserve">Incluir en el programa de inspecciones general las inspecciones para las herramientas.
Generar listas de chequeo para inspecciones de herramientas, definir frecuencias de inspección y responsables </t>
  </si>
  <si>
    <t>Marcación física PAE</t>
  </si>
  <si>
    <t xml:space="preserve">Investigar todos los incidentes y documentar el proceso </t>
  </si>
  <si>
    <t xml:space="preserve">Definir plan de mejoras a las maquinas de acuerdo con el diagnostico realizado por mantenimiento </t>
  </si>
  <si>
    <t>No se han realizado los análisis de riesgos</t>
  </si>
  <si>
    <t xml:space="preserve">Realizar AROS y definir plan de mejora de acuerdo con los hallazgos resultantes de los análisis de riesgos </t>
  </si>
  <si>
    <t>Se definido un plan de trabajo para la implementación de las mejoras requeridas, identificadas en los Reportes de condiciones / comportamientos inseguros, y se le hace seguimiento periódico y planeado a éste plan para su cumplimiento y para verificar efectividad de las acciones implementadas?</t>
  </si>
  <si>
    <t>Se cuenta con tarjetas de reporte de condiciones, pero no hay reporte por parte de los trabajadores</t>
  </si>
  <si>
    <t xml:space="preserve">Una vez fomentado el reporte de tarjetas, consolidar información para generar plan de mejora según resultados </t>
  </si>
  <si>
    <t xml:space="preserve">Se cuenta con plan de mejoras en Excel donde se consolida y se hace seguimiento a los hallazgos de las inspecciones </t>
  </si>
  <si>
    <t>No se ha definido objetivos y metas</t>
  </si>
  <si>
    <t>Se tienen definidas las siguientes responsabilidades para el Control del riesgo mecánico?:
- Quién (es) son los responsables por el Programa. 
- Quién (es) aprueban las compras de maquinaria, equipos y herramientas
- Quién (es) identifican los peligros y evalúan los riesgos en el uso de máquinas, equipos y herramientas.
- Quién (es) identifican las energías peligrosas en el uso de máquinas, equipos y en actividades de servicio / mantenimiento.
- Quién (es) elaboran los ARO´s y estandarizan la operación de máquinas, equipos y herramientas.
- Quienes inspeccionan máquinas / equipos / herramientas / cumplimiento con procedimientos?
- Quién (es) tienen responsabilidad y autoridad para hacer cumplir los estándares de operación segura de las máquinas y equipos y las fichas de control de energías peligrosas.
- Quien (es) activan la aplicación del procedimiento de Gestión del Cambio para mantener actualizadas las disposiciones para el control del riesgo mecánico y las energías peligrosas.</t>
  </si>
  <si>
    <t>Se informa que se actualizó la matriz de peligros en Junio de 2020 donde se incluyó el riesgo biológico para covid-19</t>
  </si>
  <si>
    <t>Se cuenta con un plan de capacitación pero no se relacionan los temas asociados a riesgo mecanico</t>
  </si>
  <si>
    <t>La empresa realiza inducción al ingreso, se brinda inducción general, por áreas se brinda inducción en puesto, no se realiza evaluación. 
No se documenta el entrenamiento</t>
  </si>
  <si>
    <t xml:space="preserve">Incluir parámetros para SST  como reconocimiento (motivacional). </t>
  </si>
  <si>
    <t>Se cuenta con tarjetas de reporte de condiciones, pero no se evidencian reportes</t>
  </si>
  <si>
    <t>Se han revisado las maquinas pero no se documenta el proceso</t>
  </si>
  <si>
    <t>Realizar diagnóstico por parte del área de mantenimiento y documentar</t>
  </si>
  <si>
    <t>Identificar las maquias y equipos críticos, inventarios</t>
  </si>
  <si>
    <t>No se cuenta con listas de chequeo pre operacional y no se realizan inspecciones documentadas</t>
  </si>
  <si>
    <t>Definir listas de chequeo una vez se cuente con el inventario de criticidad y documentar las inspecciones para la maquinaria</t>
  </si>
  <si>
    <t xml:space="preserve">Se ejecuta programa preventivo, esta en proceso de estructuración el documento </t>
  </si>
  <si>
    <t>Se investigan todos los accidentes, pero los incidentes no.</t>
  </si>
  <si>
    <t>Se hace seguimiento algunos hallazgos pero no se contemplan variables descritas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</si>
</sst>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9">
    <font>
      <sz val="10"/>
      <name val="Arial"/>
    </font>
    <font>
      <sz val="10"/>
      <name val="Arial"/>
      <family val="2"/>
    </font>
    <font>
      <sz val="10"/>
      <name val="Geneva"/>
    </font>
    <font>
      <i/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9" fontId="5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9" fontId="0" fillId="0" borderId="2" xfId="4" applyFont="1" applyBorder="1" applyAlignment="1">
      <alignment horizontal="center" vertical="center"/>
    </xf>
    <xf numFmtId="0" fontId="0" fillId="0" borderId="0" xfId="0" applyFill="1"/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 applyBorder="1"/>
    <xf numFmtId="0" fontId="0" fillId="0" borderId="0" xfId="0" applyBorder="1"/>
    <xf numFmtId="0" fontId="7" fillId="0" borderId="0" xfId="0" applyFont="1" applyBorder="1" applyAlignment="1">
      <alignment horizontal="center"/>
    </xf>
    <xf numFmtId="0" fontId="1" fillId="0" borderId="2" xfId="0" applyFont="1" applyFill="1" applyBorder="1" applyAlignment="1" applyProtection="1">
      <alignment horizontal="left" vertical="center" wrapText="1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alignment vertical="center" wrapText="1"/>
      <protection locked="0"/>
    </xf>
    <xf numFmtId="0" fontId="8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9" fontId="0" fillId="0" borderId="0" xfId="0" applyNumberFormat="1"/>
    <xf numFmtId="0" fontId="6" fillId="0" borderId="0" xfId="0" applyFont="1" applyAlignment="1">
      <alignment horizontal="right"/>
    </xf>
    <xf numFmtId="9" fontId="6" fillId="0" borderId="0" xfId="0" applyNumberFormat="1" applyFont="1"/>
    <xf numFmtId="0" fontId="8" fillId="0" borderId="0" xfId="0" applyFont="1" applyBorder="1"/>
    <xf numFmtId="0" fontId="1" fillId="5" borderId="2" xfId="0" applyFont="1" applyFill="1" applyBorder="1" applyAlignment="1">
      <alignment vertical="center"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6" xfId="0" applyFont="1" applyBorder="1" applyAlignment="1" applyProtection="1">
      <alignment horizontal="left"/>
      <protection locked="0"/>
    </xf>
    <xf numFmtId="0" fontId="7" fillId="4" borderId="2" xfId="0" applyFont="1" applyFill="1" applyBorder="1" applyAlignment="1">
      <alignment horizontal="center"/>
    </xf>
    <xf numFmtId="0" fontId="7" fillId="0" borderId="6" xfId="0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5">
    <cellStyle name="Estilo 1" xfId="1" xr:uid="{00000000-0005-0000-0000-000000000000}"/>
    <cellStyle name="Euro" xfId="2" xr:uid="{00000000-0005-0000-0000-000001000000}"/>
    <cellStyle name="Normal" xfId="0" builtinId="0"/>
    <cellStyle name="Normal 2" xfId="3" xr:uid="{00000000-0005-0000-0000-000003000000}"/>
    <cellStyle name="Porcentaje" xfId="4" builtinId="5"/>
  </cellStyles>
  <dxfs count="10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rgbClr val="00B0F0"/>
                </a:solidFill>
              </a:rPr>
              <a:t>PROGRAMA RIESGO MECÁNICO</a:t>
            </a:r>
          </a:p>
          <a:p>
            <a:pPr>
              <a:defRPr>
                <a:solidFill>
                  <a:srgbClr val="00B0F0"/>
                </a:solidFill>
              </a:defRPr>
            </a:pPr>
            <a:r>
              <a:rPr lang="es-CO">
                <a:solidFill>
                  <a:srgbClr val="00B0F0"/>
                </a:solidFill>
              </a:rPr>
              <a:t>% Implementación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rgbClr val="00B0F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34925" cap="rnd">
              <a:solidFill>
                <a:srgbClr val="FFC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'Res general'!$B$5:$B$12</c:f>
              <c:strCache>
                <c:ptCount val="8"/>
                <c:pt idx="0">
                  <c:v>Programa</c:v>
                </c:pt>
                <c:pt idx="1">
                  <c:v>Trabajadores</c:v>
                </c:pt>
                <c:pt idx="2">
                  <c:v>Cultura de seguridad</c:v>
                </c:pt>
                <c:pt idx="3">
                  <c:v>Seguridad con máquinas</c:v>
                </c:pt>
                <c:pt idx="4">
                  <c:v>Seguridad con herramientas</c:v>
                </c:pt>
                <c:pt idx="5">
                  <c:v>Control de energías peligrosas</c:v>
                </c:pt>
                <c:pt idx="6">
                  <c:v>Medición y mejora</c:v>
                </c:pt>
                <c:pt idx="7">
                  <c:v>TOTAL </c:v>
                </c:pt>
              </c:strCache>
            </c:strRef>
          </c:cat>
          <c:val>
            <c:numRef>
              <c:f>'Res general'!$C$5:$C$12</c:f>
              <c:numCache>
                <c:formatCode>0%</c:formatCode>
                <c:ptCount val="8"/>
                <c:pt idx="0">
                  <c:v>4.1666666666666664E-2</c:v>
                </c:pt>
                <c:pt idx="1">
                  <c:v>6.25E-2</c:v>
                </c:pt>
                <c:pt idx="2">
                  <c:v>0.05</c:v>
                </c:pt>
                <c:pt idx="3">
                  <c:v>0.11363636363636363</c:v>
                </c:pt>
                <c:pt idx="4">
                  <c:v>0</c:v>
                </c:pt>
                <c:pt idx="5">
                  <c:v>0</c:v>
                </c:pt>
                <c:pt idx="6">
                  <c:v>0.1111111111111111</c:v>
                </c:pt>
                <c:pt idx="7">
                  <c:v>5.4130591630591633E-2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7-43EA-B2DD-75033DBD3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839128"/>
        <c:axId val="523829616"/>
      </c:radarChart>
      <c:catAx>
        <c:axId val="52383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3829616"/>
        <c:crosses val="autoZero"/>
        <c:auto val="1"/>
        <c:lblAlgn val="ctr"/>
        <c:lblOffset val="100"/>
        <c:noMultiLvlLbl val="0"/>
      </c:catAx>
      <c:valAx>
        <c:axId val="5238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3839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PROGRAMA RIESGO MECÁNICO</a:t>
            </a:r>
          </a:p>
          <a:p>
            <a:pPr>
              <a:defRPr/>
            </a:pPr>
            <a:r>
              <a:rPr lang="en-US" sz="800"/>
              <a:t>% AVANCE IMPLEMENTACIÓN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% AVANCE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'Línea Basal'!$C$5:$C$10</c:f>
              <c:strCache>
                <c:ptCount val="6"/>
                <c:pt idx="0">
                  <c:v>Documentación</c:v>
                </c:pt>
                <c:pt idx="1">
                  <c:v>Alcance</c:v>
                </c:pt>
                <c:pt idx="2">
                  <c:v>Objetivos y metas</c:v>
                </c:pt>
                <c:pt idx="3">
                  <c:v>Gestión del cambio</c:v>
                </c:pt>
                <c:pt idx="4">
                  <c:v>Responsabilidades</c:v>
                </c:pt>
                <c:pt idx="5">
                  <c:v>Matriz peligros</c:v>
                </c:pt>
              </c:strCache>
            </c:strRef>
          </c:cat>
          <c:val>
            <c:numRef>
              <c:f>'Línea Basal'!$H$5:$H$10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8-4F6B-88E0-D3E360A70E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37040872"/>
        <c:axId val="337041200"/>
        <c:axId val="0"/>
      </c:bar3DChart>
      <c:catAx>
        <c:axId val="33704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1200"/>
        <c:crosses val="autoZero"/>
        <c:auto val="1"/>
        <c:lblAlgn val="ctr"/>
        <c:lblOffset val="100"/>
        <c:noMultiLvlLbl val="0"/>
      </c:catAx>
      <c:valAx>
        <c:axId val="3370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0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TRABAJADORES</a:t>
            </a:r>
          </a:p>
          <a:p>
            <a:pPr>
              <a:defRPr/>
            </a:pPr>
            <a:r>
              <a:rPr lang="en-US" sz="900"/>
              <a:t>% AVANCE IMPLEMENTACIÓN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'Línea Basal'!$C$11:$C$14</c:f>
              <c:strCache>
                <c:ptCount val="4"/>
                <c:pt idx="0">
                  <c:v>Selección</c:v>
                </c:pt>
                <c:pt idx="1">
                  <c:v>Inducción</c:v>
                </c:pt>
                <c:pt idx="2">
                  <c:v>Evaluación Inducción</c:v>
                </c:pt>
                <c:pt idx="3">
                  <c:v>Back up mano de obra crítica</c:v>
                </c:pt>
              </c:strCache>
            </c:strRef>
          </c:cat>
          <c:val>
            <c:numRef>
              <c:f>'Línea Basal'!$H$11:$H$14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6-4FC3-9677-DF1A9036BA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337040872"/>
        <c:axId val="337041200"/>
        <c:axId val="0"/>
      </c:bar3DChart>
      <c:catAx>
        <c:axId val="33704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1200"/>
        <c:crosses val="autoZero"/>
        <c:auto val="1"/>
        <c:lblAlgn val="ctr"/>
        <c:lblOffset val="100"/>
        <c:noMultiLvlLbl val="0"/>
      </c:catAx>
      <c:valAx>
        <c:axId val="3370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0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CULTURA DE SEGURIDAD</a:t>
            </a:r>
          </a:p>
          <a:p>
            <a:pPr>
              <a:defRPr/>
            </a:pPr>
            <a:r>
              <a:rPr lang="en-US" sz="800"/>
              <a:t>% AVANCE IMPLEMENTACIÓN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'Línea Basal'!$C$15:$C$19</c:f>
              <c:strCache>
                <c:ptCount val="5"/>
                <c:pt idx="0">
                  <c:v>Normas</c:v>
                </c:pt>
                <c:pt idx="1">
                  <c:v>Promoción</c:v>
                </c:pt>
                <c:pt idx="2">
                  <c:v>Reconocimiento</c:v>
                </c:pt>
                <c:pt idx="3">
                  <c:v>Observaciones comportamiento</c:v>
                </c:pt>
                <c:pt idx="4">
                  <c:v>Reporte</c:v>
                </c:pt>
              </c:strCache>
            </c:strRef>
          </c:cat>
          <c:val>
            <c:numRef>
              <c:f>'Línea Basal'!$H$15:$H$19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E-4D7B-BA5F-0FD617F978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37040872"/>
        <c:axId val="337041200"/>
        <c:axId val="0"/>
      </c:bar3DChart>
      <c:catAx>
        <c:axId val="33704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1200"/>
        <c:crosses val="autoZero"/>
        <c:auto val="1"/>
        <c:lblAlgn val="ctr"/>
        <c:lblOffset val="100"/>
        <c:noMultiLvlLbl val="0"/>
      </c:catAx>
      <c:valAx>
        <c:axId val="3370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0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SEGURIDAD CON MÁQUINAS</a:t>
            </a:r>
          </a:p>
          <a:p>
            <a:pPr>
              <a:defRPr/>
            </a:pPr>
            <a:r>
              <a:rPr lang="en-US" sz="800"/>
              <a:t>% AVANCE IMPLEMENTACIÓN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'Línea Basal'!$C$20:$C$30</c:f>
              <c:strCache>
                <c:ptCount val="11"/>
                <c:pt idx="0">
                  <c:v>Diagnóstico</c:v>
                </c:pt>
                <c:pt idx="1">
                  <c:v>Criticidad</c:v>
                </c:pt>
                <c:pt idx="2">
                  <c:v>Inspecciones</c:v>
                </c:pt>
                <c:pt idx="3">
                  <c:v>Verif Dispositivos Seguridad</c:v>
                </c:pt>
                <c:pt idx="4">
                  <c:v>Mantenimiento</c:v>
                </c:pt>
                <c:pt idx="5">
                  <c:v>Entrega máquinas</c:v>
                </c:pt>
                <c:pt idx="6">
                  <c:v>Prioridad temas seguridad</c:v>
                </c:pt>
                <c:pt idx="7">
                  <c:v>Aro Oper Normal</c:v>
                </c:pt>
                <c:pt idx="8">
                  <c:v>STD Oper Normal</c:v>
                </c:pt>
                <c:pt idx="9">
                  <c:v>STD Oper Anormal</c:v>
                </c:pt>
                <c:pt idx="10">
                  <c:v>Divulgación STD</c:v>
                </c:pt>
              </c:strCache>
            </c:strRef>
          </c:cat>
          <c:val>
            <c:numRef>
              <c:f>'Línea Basal'!$H$20:$H$30</c:f>
              <c:numCache>
                <c:formatCode>0%</c:formatCode>
                <c:ptCount val="11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9-41EC-ADC3-10D88BAFC4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37040872"/>
        <c:axId val="337041200"/>
        <c:axId val="0"/>
      </c:bar3DChart>
      <c:catAx>
        <c:axId val="33704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1200"/>
        <c:crosses val="autoZero"/>
        <c:auto val="1"/>
        <c:lblAlgn val="ctr"/>
        <c:lblOffset val="100"/>
        <c:noMultiLvlLbl val="0"/>
      </c:catAx>
      <c:valAx>
        <c:axId val="3370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0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SEGURIDAD CON HERRAMIENTAS</a:t>
            </a:r>
          </a:p>
          <a:p>
            <a:pPr>
              <a:defRPr/>
            </a:pPr>
            <a:r>
              <a:rPr lang="en-US" sz="800"/>
              <a:t>% AVANCE IMPLEMENTACIÓN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'Línea Basal'!$C$31:$C$37</c:f>
              <c:strCache>
                <c:ptCount val="7"/>
                <c:pt idx="0">
                  <c:v>Procedimiento</c:v>
                </c:pt>
                <c:pt idx="1">
                  <c:v>Necesidades</c:v>
                </c:pt>
                <c:pt idx="2">
                  <c:v>Restricción "hechizas"</c:v>
                </c:pt>
                <c:pt idx="3">
                  <c:v>Normas</c:v>
                </c:pt>
                <c:pt idx="4">
                  <c:v>Inspecciones</c:v>
                </c:pt>
                <c:pt idx="5">
                  <c:v>Mantenimiento</c:v>
                </c:pt>
                <c:pt idx="6">
                  <c:v>Disposición final</c:v>
                </c:pt>
              </c:strCache>
            </c:strRef>
          </c:cat>
          <c:val>
            <c:numRef>
              <c:f>'Línea Basal'!$H$31:$H$37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B-4A74-944E-76B6994678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37040872"/>
        <c:axId val="337041200"/>
        <c:axId val="0"/>
      </c:bar3DChart>
      <c:catAx>
        <c:axId val="33704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1200"/>
        <c:crosses val="autoZero"/>
        <c:auto val="1"/>
        <c:lblAlgn val="ctr"/>
        <c:lblOffset val="100"/>
        <c:noMultiLvlLbl val="0"/>
      </c:catAx>
      <c:valAx>
        <c:axId val="3370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0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SEGURIDAD CON ENERGÍAS PELIGROSAS</a:t>
            </a:r>
          </a:p>
          <a:p>
            <a:pPr>
              <a:defRPr/>
            </a:pPr>
            <a:r>
              <a:rPr lang="en-US" sz="800"/>
              <a:t>% AVANCE IMPLEMENTACIÓN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'Línea Basal'!$C$38:$C$45</c:f>
              <c:strCache>
                <c:ptCount val="8"/>
                <c:pt idx="0">
                  <c:v>Procedimiento</c:v>
                </c:pt>
                <c:pt idx="1">
                  <c:v>Compra DB</c:v>
                </c:pt>
                <c:pt idx="2">
                  <c:v>Marcación física PAE</c:v>
                </c:pt>
                <c:pt idx="3">
                  <c:v>Fichas de bloqueo</c:v>
                </c:pt>
                <c:pt idx="4">
                  <c:v>Entrenamiento</c:v>
                </c:pt>
                <c:pt idx="5">
                  <c:v>Entrega elementos</c:v>
                </c:pt>
                <c:pt idx="6">
                  <c:v>Aplicación Bloqueo</c:v>
                </c:pt>
                <c:pt idx="7">
                  <c:v>Auditoría</c:v>
                </c:pt>
              </c:strCache>
            </c:strRef>
          </c:cat>
          <c:val>
            <c:numRef>
              <c:f>'Línea Basal'!$H$38:$H$45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D-4C71-B731-6135D1C089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37040872"/>
        <c:axId val="337041200"/>
        <c:axId val="0"/>
      </c:bar3DChart>
      <c:catAx>
        <c:axId val="33704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1200"/>
        <c:crosses val="autoZero"/>
        <c:auto val="1"/>
        <c:lblAlgn val="ctr"/>
        <c:lblOffset val="100"/>
        <c:noMultiLvlLbl val="0"/>
      </c:catAx>
      <c:valAx>
        <c:axId val="3370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0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MEDICIÓN Y MEJORA</a:t>
            </a:r>
          </a:p>
          <a:p>
            <a:pPr>
              <a:defRPr/>
            </a:pPr>
            <a:r>
              <a:rPr lang="en-US" sz="800"/>
              <a:t>% AVANCE IMPLEMENTACIÓN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'Línea Basal'!$C$46:$C$54</c:f>
              <c:strCache>
                <c:ptCount val="9"/>
                <c:pt idx="0">
                  <c:v>Investig IT / AT</c:v>
                </c:pt>
                <c:pt idx="1">
                  <c:v>Participantes Investig</c:v>
                </c:pt>
                <c:pt idx="2">
                  <c:v>Interv x DX</c:v>
                </c:pt>
                <c:pt idx="3">
                  <c:v>Interv x ARO</c:v>
                </c:pt>
                <c:pt idx="4">
                  <c:v>Interv x Reportes</c:v>
                </c:pt>
                <c:pt idx="5">
                  <c:v>Interv x Inspecciones</c:v>
                </c:pt>
                <c:pt idx="6">
                  <c:v>Consolidación hallazgos</c:v>
                </c:pt>
                <c:pt idx="7">
                  <c:v>Indicador cumplir</c:v>
                </c:pt>
                <c:pt idx="8">
                  <c:v>Seguim Alta Dirección</c:v>
                </c:pt>
              </c:strCache>
            </c:strRef>
          </c:cat>
          <c:val>
            <c:numRef>
              <c:f>'Línea Basal'!$H$46:$H$54</c:f>
              <c:numCache>
                <c:formatCode>0%</c:formatCode>
                <c:ptCount val="9"/>
                <c:pt idx="0">
                  <c:v>0.25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3-46E3-A56D-B1A86645A2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337040872"/>
        <c:axId val="337041200"/>
        <c:axId val="0"/>
      </c:bar3DChart>
      <c:catAx>
        <c:axId val="33704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1200"/>
        <c:crosses val="autoZero"/>
        <c:auto val="1"/>
        <c:lblAlgn val="ctr"/>
        <c:lblOffset val="100"/>
        <c:noMultiLvlLbl val="0"/>
      </c:catAx>
      <c:valAx>
        <c:axId val="3370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040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8223</xdr:colOff>
      <xdr:row>0</xdr:row>
      <xdr:rowOff>115662</xdr:rowOff>
    </xdr:from>
    <xdr:to>
      <xdr:col>8</xdr:col>
      <xdr:colOff>193058</xdr:colOff>
      <xdr:row>3</xdr:row>
      <xdr:rowOff>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9652" y="115662"/>
          <a:ext cx="3096763" cy="734788"/>
        </a:xfrm>
        <a:prstGeom prst="rect">
          <a:avLst/>
        </a:prstGeom>
      </xdr:spPr>
    </xdr:pic>
    <xdr:clientData/>
  </xdr:twoCellAnchor>
  <xdr:twoCellAnchor>
    <xdr:from>
      <xdr:col>1</xdr:col>
      <xdr:colOff>82158</xdr:colOff>
      <xdr:row>3</xdr:row>
      <xdr:rowOff>81643</xdr:rowOff>
    </xdr:from>
    <xdr:to>
      <xdr:col>10</xdr:col>
      <xdr:colOff>40821</xdr:colOff>
      <xdr:row>3</xdr:row>
      <xdr:rowOff>101380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2158" y="408214"/>
          <a:ext cx="5918592" cy="19737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591014</xdr:colOff>
      <xdr:row>2</xdr:row>
      <xdr:rowOff>193901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1" y="190500"/>
          <a:ext cx="1519702" cy="3605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6</xdr:row>
      <xdr:rowOff>47625</xdr:rowOff>
    </xdr:from>
    <xdr:to>
      <xdr:col>13</xdr:col>
      <xdr:colOff>66675</xdr:colOff>
      <xdr:row>31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723900</xdr:colOff>
      <xdr:row>0</xdr:row>
      <xdr:rowOff>314325</xdr:rowOff>
    </xdr:from>
    <xdr:to>
      <xdr:col>12</xdr:col>
      <xdr:colOff>719602</xdr:colOff>
      <xdr:row>0</xdr:row>
      <xdr:rowOff>674914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7825" y="314325"/>
          <a:ext cx="1519702" cy="3605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202407</xdr:colOff>
      <xdr:row>4</xdr:row>
      <xdr:rowOff>119062</xdr:rowOff>
    </xdr:from>
    <xdr:to>
      <xdr:col>7</xdr:col>
      <xdr:colOff>1726407</xdr:colOff>
      <xdr:row>21</xdr:row>
      <xdr:rowOff>110728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107157</xdr:colOff>
      <xdr:row>0</xdr:row>
      <xdr:rowOff>160734</xdr:rowOff>
    </xdr:from>
    <xdr:to>
      <xdr:col>3</xdr:col>
      <xdr:colOff>102859</xdr:colOff>
      <xdr:row>3</xdr:row>
      <xdr:rowOff>39120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4532" y="160734"/>
          <a:ext cx="1519702" cy="36058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172640</xdr:colOff>
      <xdr:row>4</xdr:row>
      <xdr:rowOff>77390</xdr:rowOff>
    </xdr:from>
    <xdr:to>
      <xdr:col>8</xdr:col>
      <xdr:colOff>172640</xdr:colOff>
      <xdr:row>21</xdr:row>
      <xdr:rowOff>50006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178594</xdr:colOff>
      <xdr:row>1</xdr:row>
      <xdr:rowOff>11906</xdr:rowOff>
    </xdr:from>
    <xdr:to>
      <xdr:col>2</xdr:col>
      <xdr:colOff>174296</xdr:colOff>
      <xdr:row>3</xdr:row>
      <xdr:rowOff>51026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4" y="172640"/>
          <a:ext cx="1519702" cy="3605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202406</xdr:colOff>
      <xdr:row>4</xdr:row>
      <xdr:rowOff>77390</xdr:rowOff>
    </xdr:from>
    <xdr:to>
      <xdr:col>8</xdr:col>
      <xdr:colOff>202406</xdr:colOff>
      <xdr:row>21</xdr:row>
      <xdr:rowOff>50006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190500</xdr:colOff>
      <xdr:row>1</xdr:row>
      <xdr:rowOff>47625</xdr:rowOff>
    </xdr:from>
    <xdr:to>
      <xdr:col>2</xdr:col>
      <xdr:colOff>186202</xdr:colOff>
      <xdr:row>3</xdr:row>
      <xdr:rowOff>86745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08359"/>
          <a:ext cx="1519702" cy="3605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309563</xdr:colOff>
      <xdr:row>4</xdr:row>
      <xdr:rowOff>53577</xdr:rowOff>
    </xdr:from>
    <xdr:to>
      <xdr:col>8</xdr:col>
      <xdr:colOff>309563</xdr:colOff>
      <xdr:row>21</xdr:row>
      <xdr:rowOff>26193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196453</xdr:colOff>
      <xdr:row>0</xdr:row>
      <xdr:rowOff>148828</xdr:rowOff>
    </xdr:from>
    <xdr:to>
      <xdr:col>2</xdr:col>
      <xdr:colOff>192155</xdr:colOff>
      <xdr:row>3</xdr:row>
      <xdr:rowOff>27214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453" y="148828"/>
          <a:ext cx="1519702" cy="36058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214313</xdr:colOff>
      <xdr:row>4</xdr:row>
      <xdr:rowOff>71437</xdr:rowOff>
    </xdr:from>
    <xdr:to>
      <xdr:col>8</xdr:col>
      <xdr:colOff>214313</xdr:colOff>
      <xdr:row>21</xdr:row>
      <xdr:rowOff>44053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172640</xdr:colOff>
      <xdr:row>1</xdr:row>
      <xdr:rowOff>23812</xdr:rowOff>
    </xdr:from>
    <xdr:to>
      <xdr:col>2</xdr:col>
      <xdr:colOff>168342</xdr:colOff>
      <xdr:row>3</xdr:row>
      <xdr:rowOff>62932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640" y="184546"/>
          <a:ext cx="1519702" cy="36058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148828</xdr:colOff>
      <xdr:row>4</xdr:row>
      <xdr:rowOff>71437</xdr:rowOff>
    </xdr:from>
    <xdr:to>
      <xdr:col>9</xdr:col>
      <xdr:colOff>148828</xdr:colOff>
      <xdr:row>21</xdr:row>
      <xdr:rowOff>44053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196453</xdr:colOff>
      <xdr:row>1</xdr:row>
      <xdr:rowOff>11906</xdr:rowOff>
    </xdr:from>
    <xdr:to>
      <xdr:col>3</xdr:col>
      <xdr:colOff>192155</xdr:colOff>
      <xdr:row>3</xdr:row>
      <xdr:rowOff>51026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453" y="172640"/>
          <a:ext cx="1519702" cy="36058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232172</xdr:colOff>
      <xdr:row>4</xdr:row>
      <xdr:rowOff>83343</xdr:rowOff>
    </xdr:from>
    <xdr:to>
      <xdr:col>9</xdr:col>
      <xdr:colOff>232172</xdr:colOff>
      <xdr:row>21</xdr:row>
      <xdr:rowOff>55959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184547</xdr:colOff>
      <xdr:row>1</xdr:row>
      <xdr:rowOff>35719</xdr:rowOff>
    </xdr:from>
    <xdr:to>
      <xdr:col>3</xdr:col>
      <xdr:colOff>180249</xdr:colOff>
      <xdr:row>3</xdr:row>
      <xdr:rowOff>74839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547" y="196453"/>
          <a:ext cx="1519702" cy="3605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svr1\_USERS%20FOLDERS\WINDOWS\TEMP\novedades%20human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RESUMEN"/>
      <sheetName val="indicador"/>
    </sheetNames>
    <sheetDataSet>
      <sheetData sheetId="0">
        <row r="1">
          <cell r="A1" t="str">
            <v>No.O</v>
          </cell>
          <cell r="B1" t="str">
            <v>APELLIDOS Y NOM</v>
          </cell>
          <cell r="C1" t="str">
            <v>PLACA</v>
          </cell>
          <cell r="D1" t="str">
            <v>PUESTO</v>
          </cell>
          <cell r="E1" t="str">
            <v>DIA INFRM</v>
          </cell>
          <cell r="F1" t="str">
            <v>INFORMANTE</v>
          </cell>
          <cell r="G1" t="str">
            <v>FALTA COMETIDA</v>
          </cell>
          <cell r="H1" t="str">
            <v>DIA ATEN</v>
          </cell>
          <cell r="I1" t="str">
            <v>TIPO</v>
          </cell>
          <cell r="J1" t="str">
            <v>ACCION TOMADA</v>
          </cell>
          <cell r="K1" t="str">
            <v>DESTINO</v>
          </cell>
          <cell r="L1" t="str">
            <v>No.MEMO</v>
          </cell>
        </row>
        <row r="2">
          <cell r="A2">
            <v>133</v>
          </cell>
          <cell r="B2" t="str">
            <v>Triviño Cano Orlan</v>
          </cell>
          <cell r="C2">
            <v>186655</v>
          </cell>
          <cell r="D2" t="str">
            <v>E.T.B</v>
          </cell>
          <cell r="E2">
            <v>38775</v>
          </cell>
          <cell r="F2" t="str">
            <v>Coor N.Cifuentes</v>
          </cell>
          <cell r="G2" t="str">
            <v>7 informes varios</v>
          </cell>
          <cell r="H2">
            <v>38777</v>
          </cell>
          <cell r="I2" t="str">
            <v>I</v>
          </cell>
          <cell r="J2" t="str">
            <v>Descargos</v>
          </cell>
          <cell r="K2" t="str">
            <v>Rehum</v>
          </cell>
          <cell r="L2">
            <v>103</v>
          </cell>
        </row>
        <row r="3">
          <cell r="A3">
            <v>292</v>
          </cell>
          <cell r="B3" t="str">
            <v>Pinzon Jimenez Carol</v>
          </cell>
          <cell r="C3">
            <v>26054</v>
          </cell>
          <cell r="D3" t="str">
            <v>Canciller</v>
          </cell>
          <cell r="E3">
            <v>38806</v>
          </cell>
          <cell r="F3" t="str">
            <v>Coor D. Beltran</v>
          </cell>
          <cell r="G3" t="str">
            <v>Abandono puesto</v>
          </cell>
          <cell r="H3">
            <v>38814</v>
          </cell>
          <cell r="I3" t="str">
            <v>I</v>
          </cell>
          <cell r="J3" t="str">
            <v>Acta Compromiso</v>
          </cell>
          <cell r="K3" t="str">
            <v>Rehum</v>
          </cell>
          <cell r="L3" t="str">
            <v>009N</v>
          </cell>
        </row>
        <row r="4">
          <cell r="A4">
            <v>270</v>
          </cell>
          <cell r="B4" t="str">
            <v>Velasquez Yesid</v>
          </cell>
          <cell r="C4">
            <v>186738</v>
          </cell>
          <cell r="D4" t="str">
            <v>E.T.B</v>
          </cell>
          <cell r="E4">
            <v>38811</v>
          </cell>
          <cell r="F4" t="str">
            <v>Coor N.Cifuentes</v>
          </cell>
          <cell r="G4" t="str">
            <v>Abandono puesto</v>
          </cell>
          <cell r="H4">
            <v>38818</v>
          </cell>
          <cell r="I4" t="str">
            <v>I</v>
          </cell>
          <cell r="J4" t="str">
            <v>Descargos</v>
          </cell>
          <cell r="K4" t="str">
            <v>Programac</v>
          </cell>
        </row>
        <row r="5">
          <cell r="A5">
            <v>259</v>
          </cell>
          <cell r="B5" t="str">
            <v>Rivera Manrique Carl</v>
          </cell>
          <cell r="C5">
            <v>186476</v>
          </cell>
          <cell r="D5" t="str">
            <v>E.T.B</v>
          </cell>
          <cell r="E5">
            <v>38813</v>
          </cell>
          <cell r="F5" t="str">
            <v>Sup Nitola</v>
          </cell>
          <cell r="G5" t="str">
            <v>Abandono puesto</v>
          </cell>
          <cell r="H5">
            <v>38815</v>
          </cell>
          <cell r="I5" t="str">
            <v>I</v>
          </cell>
          <cell r="J5" t="str">
            <v>Descargos</v>
          </cell>
          <cell r="K5" t="str">
            <v>Programac</v>
          </cell>
        </row>
        <row r="6">
          <cell r="A6">
            <v>297</v>
          </cell>
          <cell r="B6" t="str">
            <v>Rivera Ramirez Andres</v>
          </cell>
          <cell r="C6">
            <v>25672</v>
          </cell>
          <cell r="D6" t="str">
            <v>C.E.M</v>
          </cell>
          <cell r="E6">
            <v>38811</v>
          </cell>
          <cell r="F6" t="str">
            <v>Sup Useche</v>
          </cell>
          <cell r="G6" t="str">
            <v>Abandono puesto</v>
          </cell>
          <cell r="H6">
            <v>38815</v>
          </cell>
          <cell r="I6" t="str">
            <v>I</v>
          </cell>
          <cell r="J6" t="str">
            <v>Llamado atención</v>
          </cell>
          <cell r="K6" t="str">
            <v>Rehum</v>
          </cell>
          <cell r="L6" t="str">
            <v>009N</v>
          </cell>
        </row>
        <row r="7">
          <cell r="A7">
            <v>46</v>
          </cell>
          <cell r="B7" t="str">
            <v>Gonzalez Espitia O</v>
          </cell>
          <cell r="C7">
            <v>186458</v>
          </cell>
          <cell r="D7" t="str">
            <v>C.M.</v>
          </cell>
          <cell r="E7">
            <v>38765</v>
          </cell>
          <cell r="F7" t="str">
            <v>Sup Guevara</v>
          </cell>
          <cell r="G7" t="str">
            <v>Abandono puesto</v>
          </cell>
          <cell r="H7">
            <v>38773</v>
          </cell>
          <cell r="I7" t="str">
            <v>I</v>
          </cell>
          <cell r="J7" t="str">
            <v>permiso</v>
          </cell>
          <cell r="K7" t="str">
            <v>Rehum</v>
          </cell>
        </row>
        <row r="8">
          <cell r="A8">
            <v>257</v>
          </cell>
          <cell r="B8" t="str">
            <v>Yañez Arizal Jose</v>
          </cell>
          <cell r="C8">
            <v>186698</v>
          </cell>
          <cell r="D8" t="str">
            <v>C.M.</v>
          </cell>
          <cell r="E8">
            <v>38799</v>
          </cell>
          <cell r="F8" t="str">
            <v>Sup Ardila</v>
          </cell>
          <cell r="G8" t="str">
            <v>Abandono puesto</v>
          </cell>
          <cell r="H8">
            <v>38813</v>
          </cell>
          <cell r="I8" t="str">
            <v>I</v>
          </cell>
          <cell r="J8" t="str">
            <v>permiso</v>
          </cell>
          <cell r="K8" t="str">
            <v>Rehum</v>
          </cell>
          <cell r="L8" t="str">
            <v>009N</v>
          </cell>
        </row>
        <row r="9">
          <cell r="A9">
            <v>103</v>
          </cell>
          <cell r="B9" t="str">
            <v>Ortiz florian Jose</v>
          </cell>
          <cell r="C9">
            <v>123128</v>
          </cell>
          <cell r="D9" t="str">
            <v>C.M.</v>
          </cell>
          <cell r="E9">
            <v>38745</v>
          </cell>
          <cell r="F9" t="str">
            <v>Sup Guevara</v>
          </cell>
          <cell r="G9" t="str">
            <v>Abandono puesto</v>
          </cell>
          <cell r="H9">
            <v>38761</v>
          </cell>
          <cell r="I9" t="str">
            <v>I</v>
          </cell>
          <cell r="J9" t="str">
            <v>permiso</v>
          </cell>
          <cell r="K9" t="str">
            <v>Rehum</v>
          </cell>
        </row>
        <row r="10">
          <cell r="A10">
            <v>255</v>
          </cell>
          <cell r="B10" t="str">
            <v>Gonzalez Espitia O</v>
          </cell>
          <cell r="C10">
            <v>186459</v>
          </cell>
          <cell r="D10" t="str">
            <v>C.M.</v>
          </cell>
          <cell r="E10">
            <v>38804</v>
          </cell>
          <cell r="F10" t="str">
            <v>Sup Ardila</v>
          </cell>
          <cell r="G10" t="str">
            <v>Abuso de confianza</v>
          </cell>
          <cell r="H10">
            <v>38782</v>
          </cell>
          <cell r="I10" t="str">
            <v>I</v>
          </cell>
          <cell r="J10" t="str">
            <v>Descargos</v>
          </cell>
          <cell r="K10" t="str">
            <v>Programac</v>
          </cell>
        </row>
        <row r="11">
          <cell r="A11">
            <v>261</v>
          </cell>
          <cell r="B11" t="str">
            <v>Lopez Carlos</v>
          </cell>
          <cell r="C11">
            <v>123193</v>
          </cell>
          <cell r="D11" t="str">
            <v>E.T.B</v>
          </cell>
          <cell r="E11">
            <v>38811</v>
          </cell>
          <cell r="F11" t="str">
            <v>Coor N.Cifuentes</v>
          </cell>
          <cell r="G11" t="str">
            <v>Abuso de confianza</v>
          </cell>
          <cell r="H11">
            <v>38815</v>
          </cell>
          <cell r="I11" t="str">
            <v>I</v>
          </cell>
          <cell r="J11" t="str">
            <v>Descargos</v>
          </cell>
          <cell r="K11" t="str">
            <v>Programac</v>
          </cell>
        </row>
        <row r="12">
          <cell r="A12">
            <v>196</v>
          </cell>
          <cell r="B12" t="str">
            <v>Fernandez Jose</v>
          </cell>
          <cell r="C12">
            <v>186769</v>
          </cell>
          <cell r="D12" t="str">
            <v>C. Dorad</v>
          </cell>
          <cell r="E12">
            <v>38790</v>
          </cell>
          <cell r="F12" t="str">
            <v>Vig Cardenas Parr</v>
          </cell>
          <cell r="G12" t="str">
            <v>Acoso laboral</v>
          </cell>
          <cell r="H12">
            <v>38797</v>
          </cell>
          <cell r="I12" t="str">
            <v>I</v>
          </cell>
          <cell r="J12" t="str">
            <v>Llamado atención</v>
          </cell>
          <cell r="K12" t="str">
            <v>Rehum</v>
          </cell>
          <cell r="L12" t="str">
            <v>007N</v>
          </cell>
        </row>
        <row r="13">
          <cell r="A13">
            <v>199</v>
          </cell>
          <cell r="B13" t="str">
            <v>Beltran Bustos Jorg</v>
          </cell>
          <cell r="C13">
            <v>71118</v>
          </cell>
          <cell r="D13" t="str">
            <v>U Rosar</v>
          </cell>
          <cell r="E13">
            <v>38793</v>
          </cell>
          <cell r="F13" t="str">
            <v>Coor J. Tiusso</v>
          </cell>
          <cell r="G13" t="str">
            <v>Mal trato</v>
          </cell>
          <cell r="H13">
            <v>38797</v>
          </cell>
          <cell r="I13" t="str">
            <v>I</v>
          </cell>
          <cell r="J13" t="str">
            <v>Descargos</v>
          </cell>
          <cell r="K13" t="str">
            <v>Rehum</v>
          </cell>
          <cell r="L13">
            <v>137</v>
          </cell>
        </row>
        <row r="14">
          <cell r="A14">
            <v>266</v>
          </cell>
          <cell r="B14" t="str">
            <v>Díaz iomedes</v>
          </cell>
          <cell r="C14">
            <v>25799</v>
          </cell>
          <cell r="D14" t="str">
            <v>Papelsa</v>
          </cell>
          <cell r="E14">
            <v>38802</v>
          </cell>
          <cell r="F14" t="str">
            <v>Vig Castro Arias</v>
          </cell>
          <cell r="G14" t="str">
            <v>Mal trato</v>
          </cell>
          <cell r="H14">
            <v>38817</v>
          </cell>
          <cell r="I14" t="str">
            <v>I</v>
          </cell>
          <cell r="J14" t="str">
            <v>Acta Compromiso</v>
          </cell>
          <cell r="K14" t="str">
            <v>Programac</v>
          </cell>
        </row>
        <row r="15">
          <cell r="A15">
            <v>145</v>
          </cell>
          <cell r="B15" t="str">
            <v>Nisperuza Sierra</v>
          </cell>
          <cell r="C15">
            <v>123300</v>
          </cell>
          <cell r="D15" t="str">
            <v>E.T.B</v>
          </cell>
          <cell r="E15">
            <v>38780</v>
          </cell>
          <cell r="F15" t="str">
            <v>Gilberto Salazar</v>
          </cell>
          <cell r="G15" t="str">
            <v>Ausencia a capacitac</v>
          </cell>
          <cell r="H15">
            <v>38784</v>
          </cell>
          <cell r="I15" t="str">
            <v>I</v>
          </cell>
          <cell r="J15" t="str">
            <v>Acta Compromiso</v>
          </cell>
          <cell r="K15" t="str">
            <v>Rehum</v>
          </cell>
          <cell r="L15">
            <v>115</v>
          </cell>
        </row>
        <row r="16">
          <cell r="A16">
            <v>147</v>
          </cell>
          <cell r="B16" t="str">
            <v>Montaña Galindo Ricar</v>
          </cell>
          <cell r="C16">
            <v>26126</v>
          </cell>
          <cell r="E16">
            <v>38780</v>
          </cell>
          <cell r="F16" t="str">
            <v>Gilberto Salazar</v>
          </cell>
          <cell r="G16" t="str">
            <v>Ausencia a capacitac</v>
          </cell>
          <cell r="H16">
            <v>38784</v>
          </cell>
          <cell r="I16" t="str">
            <v>I</v>
          </cell>
          <cell r="J16" t="str">
            <v>Acta Compromiso</v>
          </cell>
          <cell r="K16" t="str">
            <v>Rehum</v>
          </cell>
          <cell r="L16">
            <v>115</v>
          </cell>
        </row>
        <row r="17">
          <cell r="A17">
            <v>148</v>
          </cell>
          <cell r="B17" t="str">
            <v>Forero Hufo</v>
          </cell>
          <cell r="C17">
            <v>25902</v>
          </cell>
          <cell r="D17" t="str">
            <v>H.Winsor</v>
          </cell>
          <cell r="E17">
            <v>38780</v>
          </cell>
          <cell r="F17" t="str">
            <v>Gilberto Salazar</v>
          </cell>
          <cell r="G17" t="str">
            <v>Ausencia a capacitac</v>
          </cell>
          <cell r="H17">
            <v>38784</v>
          </cell>
          <cell r="I17" t="str">
            <v>I</v>
          </cell>
          <cell r="J17" t="str">
            <v>Acta Compromiso</v>
          </cell>
          <cell r="K17" t="str">
            <v>Rehum</v>
          </cell>
          <cell r="L17">
            <v>115</v>
          </cell>
        </row>
        <row r="18">
          <cell r="A18">
            <v>150</v>
          </cell>
          <cell r="B18" t="str">
            <v>Moreno Combita Wilson</v>
          </cell>
          <cell r="C18">
            <v>26163</v>
          </cell>
          <cell r="D18" t="str">
            <v>E.T.B</v>
          </cell>
          <cell r="E18">
            <v>38780</v>
          </cell>
          <cell r="F18" t="str">
            <v>Gilberto Salazar</v>
          </cell>
          <cell r="G18" t="str">
            <v>Ausencia a capacitac</v>
          </cell>
          <cell r="H18">
            <v>38784</v>
          </cell>
          <cell r="I18" t="str">
            <v>I</v>
          </cell>
          <cell r="J18" t="str">
            <v>Acta Compromiso</v>
          </cell>
          <cell r="K18" t="str">
            <v>Rehum</v>
          </cell>
          <cell r="L18">
            <v>115</v>
          </cell>
        </row>
        <row r="19">
          <cell r="A19">
            <v>151</v>
          </cell>
          <cell r="B19" t="str">
            <v>Molano vargas Raul</v>
          </cell>
          <cell r="C19">
            <v>25692</v>
          </cell>
          <cell r="D19" t="str">
            <v>E.T.B</v>
          </cell>
          <cell r="E19">
            <v>38780</v>
          </cell>
          <cell r="F19" t="str">
            <v>Gilberto Salazar</v>
          </cell>
          <cell r="G19" t="str">
            <v>Ausencia a capacitac</v>
          </cell>
          <cell r="H19">
            <v>38784</v>
          </cell>
          <cell r="I19" t="str">
            <v>I</v>
          </cell>
          <cell r="J19" t="str">
            <v>Acta Compromiso</v>
          </cell>
          <cell r="K19" t="str">
            <v>Rehum</v>
          </cell>
          <cell r="L19">
            <v>115</v>
          </cell>
        </row>
        <row r="20">
          <cell r="A20">
            <v>152</v>
          </cell>
          <cell r="B20" t="str">
            <v>Nova Camacho Ruth</v>
          </cell>
          <cell r="C20">
            <v>186579</v>
          </cell>
          <cell r="D20" t="str">
            <v>E.T.B</v>
          </cell>
          <cell r="E20">
            <v>38780</v>
          </cell>
          <cell r="F20" t="str">
            <v>Gilberto Salazar</v>
          </cell>
          <cell r="G20" t="str">
            <v>Ausencia a capacitac</v>
          </cell>
          <cell r="H20">
            <v>38784</v>
          </cell>
          <cell r="I20" t="str">
            <v>I</v>
          </cell>
          <cell r="J20" t="str">
            <v>Acta Compromiso</v>
          </cell>
          <cell r="K20" t="str">
            <v>Rehum</v>
          </cell>
          <cell r="L20">
            <v>115</v>
          </cell>
        </row>
        <row r="21">
          <cell r="A21">
            <v>153</v>
          </cell>
          <cell r="B21" t="str">
            <v>Ortiz Briñez norberto</v>
          </cell>
          <cell r="C21">
            <v>123212</v>
          </cell>
          <cell r="E21">
            <v>38780</v>
          </cell>
          <cell r="F21" t="str">
            <v>Gilberto Salazar</v>
          </cell>
          <cell r="G21" t="str">
            <v>Ausencia a capacitac</v>
          </cell>
          <cell r="H21">
            <v>37323</v>
          </cell>
          <cell r="I21" t="str">
            <v>I</v>
          </cell>
          <cell r="J21" t="str">
            <v>Acta Compromiso</v>
          </cell>
          <cell r="K21" t="str">
            <v>Rehum</v>
          </cell>
          <cell r="L21">
            <v>115</v>
          </cell>
        </row>
        <row r="22">
          <cell r="A22">
            <v>202</v>
          </cell>
          <cell r="B22" t="str">
            <v>Merchan Rodriguez C</v>
          </cell>
          <cell r="C22">
            <v>25983</v>
          </cell>
          <cell r="D22" t="str">
            <v>Cryogas</v>
          </cell>
          <cell r="E22">
            <v>38780</v>
          </cell>
          <cell r="F22" t="str">
            <v>Gilberto Salazar</v>
          </cell>
          <cell r="G22" t="str">
            <v>Ausencia a capacitac</v>
          </cell>
          <cell r="H22">
            <v>38789</v>
          </cell>
          <cell r="I22" t="str">
            <v>I</v>
          </cell>
          <cell r="J22" t="str">
            <v>Acta Compromiso</v>
          </cell>
          <cell r="K22" t="str">
            <v>Rehum</v>
          </cell>
          <cell r="L22">
            <v>138</v>
          </cell>
        </row>
        <row r="23">
          <cell r="A23">
            <v>203</v>
          </cell>
          <cell r="B23" t="str">
            <v>Moreno Ortegon Jose</v>
          </cell>
          <cell r="C23">
            <v>186592</v>
          </cell>
          <cell r="D23" t="str">
            <v>E.T.B</v>
          </cell>
          <cell r="E23">
            <v>38780</v>
          </cell>
          <cell r="F23" t="str">
            <v>Gilberto Salazar</v>
          </cell>
          <cell r="G23" t="str">
            <v>Ausencia a capacitac</v>
          </cell>
          <cell r="H23">
            <v>38789</v>
          </cell>
          <cell r="I23" t="str">
            <v>I</v>
          </cell>
          <cell r="J23" t="str">
            <v>Acta Compromiso</v>
          </cell>
          <cell r="K23" t="str">
            <v>Rehum</v>
          </cell>
          <cell r="L23">
            <v>138</v>
          </cell>
        </row>
        <row r="24">
          <cell r="A24">
            <v>204</v>
          </cell>
          <cell r="B24" t="str">
            <v>Ortiz Briñez Jose</v>
          </cell>
          <cell r="C24">
            <v>35002</v>
          </cell>
          <cell r="E24">
            <v>38780</v>
          </cell>
          <cell r="F24" t="str">
            <v>Gilberto Salazar</v>
          </cell>
          <cell r="G24" t="str">
            <v>Ausencia a capacitac</v>
          </cell>
          <cell r="H24">
            <v>38789</v>
          </cell>
          <cell r="I24" t="str">
            <v>I</v>
          </cell>
          <cell r="J24" t="str">
            <v>Acta Compromiso</v>
          </cell>
          <cell r="K24" t="str">
            <v>Rehum</v>
          </cell>
          <cell r="L24">
            <v>138</v>
          </cell>
        </row>
        <row r="25">
          <cell r="A25">
            <v>205</v>
          </cell>
          <cell r="B25" t="str">
            <v>Mendoza Jose</v>
          </cell>
          <cell r="C25">
            <v>26091</v>
          </cell>
          <cell r="D25" t="str">
            <v>I.T.la S</v>
          </cell>
          <cell r="E25">
            <v>38780</v>
          </cell>
          <cell r="F25" t="str">
            <v>Gilberto Salazar</v>
          </cell>
          <cell r="G25" t="str">
            <v>Ausencia a capacitac</v>
          </cell>
          <cell r="H25">
            <v>38789</v>
          </cell>
          <cell r="I25" t="str">
            <v>I</v>
          </cell>
          <cell r="J25" t="str">
            <v>Acta Compromiso</v>
          </cell>
          <cell r="K25" t="str">
            <v>Rehum</v>
          </cell>
          <cell r="L25">
            <v>138</v>
          </cell>
        </row>
        <row r="26">
          <cell r="A26">
            <v>47</v>
          </cell>
          <cell r="B26" t="str">
            <v>Alvarado Lopez Artur</v>
          </cell>
          <cell r="C26">
            <v>26183</v>
          </cell>
          <cell r="D26" t="str">
            <v>C.E.M</v>
          </cell>
          <cell r="E26">
            <v>38752</v>
          </cell>
          <cell r="F26" t="str">
            <v>Sup Rojas</v>
          </cell>
          <cell r="G26" t="str">
            <v>Ausencia a reunion</v>
          </cell>
          <cell r="H26">
            <v>38766</v>
          </cell>
          <cell r="I26" t="str">
            <v>I</v>
          </cell>
          <cell r="J26" t="str">
            <v>Acta Compromiso</v>
          </cell>
          <cell r="K26" t="str">
            <v>Rehum</v>
          </cell>
          <cell r="L26" t="str">
            <v>005N</v>
          </cell>
        </row>
        <row r="27">
          <cell r="A27">
            <v>11</v>
          </cell>
          <cell r="B27" t="str">
            <v>Montaña Galindo Ger</v>
          </cell>
          <cell r="C27">
            <v>26126</v>
          </cell>
          <cell r="D27" t="str">
            <v>I.T.la S</v>
          </cell>
          <cell r="E27">
            <v>38737</v>
          </cell>
          <cell r="F27" t="str">
            <v>M. Munevar Cont</v>
          </cell>
          <cell r="G27" t="str">
            <v>Ausencia al Servicio</v>
          </cell>
          <cell r="H27">
            <v>38756</v>
          </cell>
          <cell r="I27" t="str">
            <v>I</v>
          </cell>
          <cell r="J27" t="str">
            <v>Acta Compromiso</v>
          </cell>
          <cell r="K27" t="str">
            <v>Rehum</v>
          </cell>
          <cell r="L27" t="str">
            <v>005N</v>
          </cell>
        </row>
        <row r="28">
          <cell r="A28">
            <v>17</v>
          </cell>
          <cell r="B28" t="str">
            <v>Rubiano Galeano Ric</v>
          </cell>
          <cell r="C28">
            <v>186648</v>
          </cell>
          <cell r="D28" t="str">
            <v>Crediban</v>
          </cell>
          <cell r="E28">
            <v>38747</v>
          </cell>
          <cell r="F28" t="str">
            <v>M. Munevar Cont</v>
          </cell>
          <cell r="G28" t="str">
            <v>Ausencia al Servicio</v>
          </cell>
          <cell r="H28">
            <v>38756</v>
          </cell>
          <cell r="I28" t="str">
            <v>I</v>
          </cell>
          <cell r="J28" t="str">
            <v>Acta Compromiso</v>
          </cell>
          <cell r="K28" t="str">
            <v>Rehum</v>
          </cell>
        </row>
        <row r="29">
          <cell r="A29">
            <v>49</v>
          </cell>
          <cell r="B29" t="str">
            <v>Martinez Zipaquira Bea</v>
          </cell>
          <cell r="C29">
            <v>186534</v>
          </cell>
          <cell r="D29" t="str">
            <v>Canciller</v>
          </cell>
          <cell r="E29">
            <v>38752</v>
          </cell>
          <cell r="F29" t="str">
            <v>Coor D. Beltran</v>
          </cell>
          <cell r="G29" t="str">
            <v>Ausencia al Servicio</v>
          </cell>
          <cell r="H29">
            <v>38766</v>
          </cell>
          <cell r="I29" t="str">
            <v>I</v>
          </cell>
          <cell r="J29" t="str">
            <v>Acta Compromiso</v>
          </cell>
          <cell r="K29" t="str">
            <v>Rehum</v>
          </cell>
          <cell r="L29" t="str">
            <v>005N</v>
          </cell>
        </row>
        <row r="30">
          <cell r="A30">
            <v>112</v>
          </cell>
          <cell r="B30" t="str">
            <v>Rodriguez Beltran</v>
          </cell>
          <cell r="C30">
            <v>186532</v>
          </cell>
          <cell r="D30" t="str">
            <v>E.T.B</v>
          </cell>
          <cell r="E30">
            <v>38754</v>
          </cell>
          <cell r="F30" t="str">
            <v>Nubia Ben Prog</v>
          </cell>
          <cell r="G30" t="str">
            <v>Ausencia al Servicio</v>
          </cell>
          <cell r="H30">
            <v>38754</v>
          </cell>
          <cell r="I30" t="str">
            <v>I</v>
          </cell>
          <cell r="J30" t="str">
            <v>Acta Compromiso</v>
          </cell>
          <cell r="K30" t="str">
            <v>Rehum</v>
          </cell>
          <cell r="L30" t="str">
            <v>005N</v>
          </cell>
        </row>
        <row r="31">
          <cell r="A31">
            <v>124</v>
          </cell>
          <cell r="B31" t="str">
            <v>Trujillo Muñoz Edgar</v>
          </cell>
          <cell r="C31">
            <v>186650</v>
          </cell>
          <cell r="D31" t="str">
            <v>E.T.B</v>
          </cell>
          <cell r="E31">
            <v>38764</v>
          </cell>
          <cell r="F31" t="str">
            <v>M. Daza Contrl</v>
          </cell>
          <cell r="G31" t="str">
            <v>Ausencia al Servicio</v>
          </cell>
          <cell r="H31">
            <v>38764</v>
          </cell>
          <cell r="I31" t="str">
            <v>I</v>
          </cell>
          <cell r="J31" t="str">
            <v>Acta Compromiso</v>
          </cell>
          <cell r="K31" t="str">
            <v>Rehum</v>
          </cell>
          <cell r="L31" t="str">
            <v>005N</v>
          </cell>
        </row>
        <row r="32">
          <cell r="A32">
            <v>85</v>
          </cell>
          <cell r="B32" t="str">
            <v>Giraldo Peralta</v>
          </cell>
          <cell r="C32">
            <v>123437</v>
          </cell>
          <cell r="D32" t="str">
            <v>E.T.B</v>
          </cell>
          <cell r="E32">
            <v>38766</v>
          </cell>
          <cell r="F32" t="str">
            <v>H.Arevalo Contrl</v>
          </cell>
          <cell r="G32" t="str">
            <v>Ausencia al Servicio</v>
          </cell>
          <cell r="H32">
            <v>38768</v>
          </cell>
          <cell r="I32" t="str">
            <v>I</v>
          </cell>
          <cell r="J32" t="str">
            <v>Acta Compromiso</v>
          </cell>
          <cell r="K32" t="str">
            <v>Rehum</v>
          </cell>
          <cell r="L32" t="str">
            <v>005N</v>
          </cell>
        </row>
        <row r="33">
          <cell r="A33">
            <v>65</v>
          </cell>
          <cell r="B33" t="str">
            <v>Graciano Pacanchiq</v>
          </cell>
          <cell r="C33">
            <v>25989</v>
          </cell>
          <cell r="D33" t="str">
            <v>Banestad</v>
          </cell>
          <cell r="E33">
            <v>38770</v>
          </cell>
          <cell r="F33" t="str">
            <v>M. Daza Contrl</v>
          </cell>
          <cell r="G33" t="str">
            <v>Ausencia al Servicio</v>
          </cell>
          <cell r="H33">
            <v>38755</v>
          </cell>
          <cell r="I33" t="str">
            <v>I</v>
          </cell>
          <cell r="J33" t="str">
            <v>Acta Compromiso</v>
          </cell>
          <cell r="K33" t="str">
            <v>Rehum</v>
          </cell>
          <cell r="L33" t="str">
            <v>005N</v>
          </cell>
        </row>
        <row r="34">
          <cell r="A34">
            <v>136</v>
          </cell>
          <cell r="B34" t="str">
            <v>Sotelo Elver</v>
          </cell>
          <cell r="C34">
            <v>123266</v>
          </cell>
          <cell r="D34" t="str">
            <v>P.Emp A</v>
          </cell>
          <cell r="E34">
            <v>38779</v>
          </cell>
          <cell r="F34" t="str">
            <v>M. Munevar Cont</v>
          </cell>
          <cell r="G34" t="str">
            <v>Ausencia al Servicio</v>
          </cell>
          <cell r="H34">
            <v>38779</v>
          </cell>
          <cell r="I34" t="str">
            <v>I</v>
          </cell>
          <cell r="J34" t="str">
            <v>Acta Compromiso</v>
          </cell>
          <cell r="K34" t="str">
            <v>Rehum</v>
          </cell>
          <cell r="L34" t="str">
            <v>006N</v>
          </cell>
        </row>
        <row r="35">
          <cell r="A35">
            <v>141</v>
          </cell>
          <cell r="B35" t="str">
            <v>Cardona Giraldo J</v>
          </cell>
          <cell r="C35">
            <v>186587</v>
          </cell>
          <cell r="E35">
            <v>38779</v>
          </cell>
          <cell r="F35" t="str">
            <v>M. Daza Contrl</v>
          </cell>
          <cell r="G35" t="str">
            <v>Ausencia al Servicio</v>
          </cell>
          <cell r="H35">
            <v>38785</v>
          </cell>
          <cell r="I35" t="str">
            <v>I</v>
          </cell>
          <cell r="J35" t="str">
            <v>Acta Compromiso</v>
          </cell>
          <cell r="K35" t="str">
            <v>Rehum</v>
          </cell>
          <cell r="L35" t="str">
            <v>006N</v>
          </cell>
        </row>
        <row r="36">
          <cell r="A36">
            <v>191</v>
          </cell>
          <cell r="B36" t="str">
            <v>Guzman Vasquez O</v>
          </cell>
          <cell r="C36">
            <v>123280</v>
          </cell>
          <cell r="D36" t="str">
            <v>U Rosar</v>
          </cell>
          <cell r="E36">
            <v>38790</v>
          </cell>
          <cell r="F36" t="str">
            <v>M. Daza Contrl</v>
          </cell>
          <cell r="G36" t="str">
            <v>Ausencia al Servicio</v>
          </cell>
          <cell r="H36">
            <v>38794</v>
          </cell>
          <cell r="I36" t="str">
            <v>I</v>
          </cell>
          <cell r="J36" t="str">
            <v>Acta Compromiso</v>
          </cell>
          <cell r="K36" t="str">
            <v>Rehum</v>
          </cell>
          <cell r="L36" t="str">
            <v>007N</v>
          </cell>
        </row>
        <row r="37">
          <cell r="A37">
            <v>247</v>
          </cell>
          <cell r="B37" t="str">
            <v>Tole Yate Hector</v>
          </cell>
          <cell r="C37">
            <v>123427</v>
          </cell>
          <cell r="D37" t="str">
            <v>Canciller</v>
          </cell>
          <cell r="E37">
            <v>38795</v>
          </cell>
          <cell r="F37" t="str">
            <v>M. Munevar Cont</v>
          </cell>
          <cell r="G37" t="str">
            <v>Ausencia al Servicio</v>
          </cell>
          <cell r="H37">
            <v>38812</v>
          </cell>
          <cell r="I37" t="str">
            <v>I</v>
          </cell>
          <cell r="J37" t="str">
            <v>Acta Compromiso</v>
          </cell>
          <cell r="K37" t="str">
            <v>Rehum</v>
          </cell>
          <cell r="L37" t="str">
            <v>009N</v>
          </cell>
        </row>
        <row r="38">
          <cell r="A38">
            <v>237</v>
          </cell>
          <cell r="B38" t="str">
            <v>Ramirez Acevedo Nelsn</v>
          </cell>
          <cell r="C38">
            <v>186813</v>
          </cell>
          <cell r="D38" t="str">
            <v>E.T.B</v>
          </cell>
          <cell r="E38">
            <v>38798</v>
          </cell>
          <cell r="F38" t="str">
            <v>H.Arevalo Contrl</v>
          </cell>
          <cell r="G38" t="str">
            <v>Ausencia al Servicio</v>
          </cell>
          <cell r="H38">
            <v>38798</v>
          </cell>
          <cell r="I38" t="str">
            <v>I</v>
          </cell>
          <cell r="J38" t="str">
            <v>Acta Compromiso</v>
          </cell>
          <cell r="K38" t="str">
            <v>Rehum</v>
          </cell>
          <cell r="L38" t="str">
            <v>008N</v>
          </cell>
        </row>
        <row r="39">
          <cell r="A39">
            <v>236</v>
          </cell>
          <cell r="B39" t="str">
            <v>Pinilla Yadira</v>
          </cell>
          <cell r="C39">
            <v>23522</v>
          </cell>
          <cell r="E39">
            <v>38799</v>
          </cell>
          <cell r="F39" t="str">
            <v>Nubia Ben Prog</v>
          </cell>
          <cell r="G39" t="str">
            <v>Ausencia al Servicio</v>
          </cell>
          <cell r="H39">
            <v>38799</v>
          </cell>
          <cell r="I39" t="str">
            <v>I</v>
          </cell>
          <cell r="J39" t="str">
            <v>Acta Compromiso</v>
          </cell>
          <cell r="K39" t="str">
            <v>Rehum</v>
          </cell>
          <cell r="L39" t="str">
            <v>008N</v>
          </cell>
        </row>
        <row r="40">
          <cell r="A40">
            <v>230</v>
          </cell>
          <cell r="B40" t="str">
            <v>Montaña Caro J</v>
          </cell>
          <cell r="C40">
            <v>183</v>
          </cell>
          <cell r="D40" t="str">
            <v>E.T.B</v>
          </cell>
          <cell r="E40">
            <v>38802</v>
          </cell>
          <cell r="F40" t="str">
            <v>M. Daza Contrl</v>
          </cell>
          <cell r="G40" t="str">
            <v>Ausencia al Servicio</v>
          </cell>
          <cell r="H40">
            <v>38804</v>
          </cell>
          <cell r="I40" t="str">
            <v>I</v>
          </cell>
          <cell r="J40" t="str">
            <v>Acta Compromiso</v>
          </cell>
          <cell r="K40" t="str">
            <v>Rehum</v>
          </cell>
          <cell r="L40" t="str">
            <v>008N</v>
          </cell>
        </row>
        <row r="41">
          <cell r="A41">
            <v>299</v>
          </cell>
          <cell r="B41" t="str">
            <v>Londoño Maria del Carm</v>
          </cell>
          <cell r="C41">
            <v>25539</v>
          </cell>
          <cell r="D41" t="str">
            <v>C.E.M</v>
          </cell>
          <cell r="E41">
            <v>38818</v>
          </cell>
          <cell r="F41" t="str">
            <v>M. Munevar Cont</v>
          </cell>
          <cell r="G41" t="str">
            <v>Ausencia al Servicio</v>
          </cell>
          <cell r="H41">
            <v>38819</v>
          </cell>
          <cell r="I41" t="str">
            <v>I</v>
          </cell>
          <cell r="J41" t="str">
            <v>Acta Compromiso</v>
          </cell>
          <cell r="K41" t="str">
            <v>Programac</v>
          </cell>
        </row>
        <row r="42">
          <cell r="A42">
            <v>53</v>
          </cell>
          <cell r="B42" t="str">
            <v>Gamero Wilmar</v>
          </cell>
          <cell r="C42">
            <v>25616</v>
          </cell>
          <cell r="D42" t="str">
            <v>E.T.B</v>
          </cell>
          <cell r="E42">
            <v>38767</v>
          </cell>
          <cell r="F42" t="str">
            <v>H.Arevalo Contrl</v>
          </cell>
          <cell r="G42" t="str">
            <v>Ausencia al Servicio</v>
          </cell>
          <cell r="H42">
            <v>38770</v>
          </cell>
          <cell r="I42" t="str">
            <v>I</v>
          </cell>
          <cell r="J42" t="str">
            <v>Carta renuncia</v>
          </cell>
          <cell r="K42" t="str">
            <v>Rehum</v>
          </cell>
          <cell r="L42" t="str">
            <v>Omitido</v>
          </cell>
        </row>
        <row r="43">
          <cell r="A43">
            <v>210</v>
          </cell>
          <cell r="B43" t="str">
            <v>Contreras Quevedo W</v>
          </cell>
          <cell r="C43">
            <v>123273</v>
          </cell>
          <cell r="D43" t="str">
            <v>E.T.B</v>
          </cell>
          <cell r="E43" t="str">
            <v>13 al22/03/6</v>
          </cell>
          <cell r="F43" t="str">
            <v>M. Daza Contrl</v>
          </cell>
          <cell r="G43" t="str">
            <v>Ausencia al Servicio</v>
          </cell>
          <cell r="H43">
            <v>38798</v>
          </cell>
          <cell r="I43" t="str">
            <v>I</v>
          </cell>
          <cell r="J43" t="str">
            <v>Carta renuncia</v>
          </cell>
          <cell r="K43" t="str">
            <v>Rehum</v>
          </cell>
          <cell r="L43" t="str">
            <v>Omitido</v>
          </cell>
        </row>
        <row r="44">
          <cell r="A44">
            <v>142</v>
          </cell>
          <cell r="B44" t="str">
            <v>Celis Castro Jairo</v>
          </cell>
          <cell r="C44">
            <v>25512</v>
          </cell>
          <cell r="D44" t="str">
            <v>C.E.M</v>
          </cell>
          <cell r="E44">
            <v>38739</v>
          </cell>
          <cell r="F44" t="str">
            <v>M. Daza Contrl</v>
          </cell>
          <cell r="G44" t="str">
            <v>Ausencia al Servicio</v>
          </cell>
          <cell r="H44">
            <v>38785</v>
          </cell>
          <cell r="I44" t="str">
            <v>I</v>
          </cell>
          <cell r="J44" t="str">
            <v>Descargos</v>
          </cell>
          <cell r="K44" t="str">
            <v>Rehum</v>
          </cell>
          <cell r="L44" t="str">
            <v>Omitido</v>
          </cell>
        </row>
        <row r="45">
          <cell r="A45">
            <v>209</v>
          </cell>
          <cell r="B45" t="str">
            <v>Romero Raul E</v>
          </cell>
          <cell r="C45">
            <v>25785</v>
          </cell>
          <cell r="D45" t="str">
            <v>I.T.la S</v>
          </cell>
          <cell r="E45">
            <v>38796</v>
          </cell>
          <cell r="F45" t="str">
            <v>M. Daza Contrl</v>
          </cell>
          <cell r="G45" t="str">
            <v>Ausencia al Servicio</v>
          </cell>
          <cell r="H45">
            <v>38798</v>
          </cell>
          <cell r="I45" t="str">
            <v>I</v>
          </cell>
          <cell r="J45" t="str">
            <v>Descargos</v>
          </cell>
          <cell r="K45" t="str">
            <v>Rehum</v>
          </cell>
          <cell r="L45">
            <v>146</v>
          </cell>
        </row>
        <row r="46">
          <cell r="A46">
            <v>222</v>
          </cell>
          <cell r="B46" t="str">
            <v>Parra Rodriguez Jose</v>
          </cell>
          <cell r="C46">
            <v>25649</v>
          </cell>
          <cell r="D46" t="str">
            <v>C.E.M</v>
          </cell>
          <cell r="E46">
            <v>38803</v>
          </cell>
          <cell r="F46" t="str">
            <v>M. Daza Contrl</v>
          </cell>
          <cell r="G46" t="str">
            <v>Ausencia al Servicio</v>
          </cell>
          <cell r="H46">
            <v>38775</v>
          </cell>
          <cell r="I46" t="str">
            <v>I</v>
          </cell>
          <cell r="J46" t="str">
            <v>Descargos</v>
          </cell>
          <cell r="K46" t="str">
            <v>Rehum</v>
          </cell>
          <cell r="L46" t="str">
            <v>007N</v>
          </cell>
        </row>
        <row r="47">
          <cell r="A47">
            <v>274</v>
          </cell>
          <cell r="B47" t="str">
            <v>Cadavid Moya Juan</v>
          </cell>
          <cell r="C47">
            <v>25925</v>
          </cell>
          <cell r="D47" t="str">
            <v>C.E.M</v>
          </cell>
          <cell r="E47">
            <v>38809</v>
          </cell>
          <cell r="F47" t="str">
            <v>Sup Useche</v>
          </cell>
          <cell r="G47" t="str">
            <v>Ausencia al Servicio</v>
          </cell>
          <cell r="H47">
            <v>38814</v>
          </cell>
          <cell r="I47" t="str">
            <v>I</v>
          </cell>
          <cell r="J47" t="str">
            <v>Llamado atención</v>
          </cell>
          <cell r="K47" t="str">
            <v>Rehum</v>
          </cell>
          <cell r="L47" t="str">
            <v>009N</v>
          </cell>
        </row>
        <row r="48">
          <cell r="A48">
            <v>273</v>
          </cell>
          <cell r="B48" t="str">
            <v>Buitrago Orjuela Augus</v>
          </cell>
          <cell r="C48">
            <v>25984</v>
          </cell>
          <cell r="D48" t="str">
            <v>E.T.B</v>
          </cell>
          <cell r="E48">
            <v>38805</v>
          </cell>
          <cell r="F48" t="str">
            <v>M. Daza Contrl</v>
          </cell>
          <cell r="G48" t="str">
            <v>Ausencia al Servicio</v>
          </cell>
          <cell r="H48">
            <v>38814</v>
          </cell>
          <cell r="I48" t="str">
            <v>I</v>
          </cell>
          <cell r="J48" t="str">
            <v>No anexa certificac</v>
          </cell>
          <cell r="K48" t="str">
            <v>Rehum</v>
          </cell>
          <cell r="L48" t="str">
            <v>009N</v>
          </cell>
        </row>
        <row r="49">
          <cell r="A49">
            <v>8</v>
          </cell>
          <cell r="B49" t="str">
            <v>Chingate Gutierrez H</v>
          </cell>
          <cell r="C49">
            <v>186777</v>
          </cell>
          <cell r="D49" t="str">
            <v>C.M.</v>
          </cell>
          <cell r="E49">
            <v>38753</v>
          </cell>
          <cell r="F49" t="str">
            <v>M. Munevar Cont</v>
          </cell>
          <cell r="G49" t="str">
            <v>Ausencia al Servicio</v>
          </cell>
          <cell r="H49">
            <v>38754</v>
          </cell>
          <cell r="I49" t="str">
            <v>I</v>
          </cell>
          <cell r="J49" t="str">
            <v>permiso</v>
          </cell>
          <cell r="K49" t="str">
            <v>Rehum</v>
          </cell>
          <cell r="L49" t="str">
            <v>005N</v>
          </cell>
        </row>
        <row r="50">
          <cell r="A50">
            <v>9</v>
          </cell>
          <cell r="B50" t="str">
            <v>Moreno Lobaton Alex</v>
          </cell>
          <cell r="C50">
            <v>186551</v>
          </cell>
          <cell r="D50" t="str">
            <v>C.M.</v>
          </cell>
          <cell r="E50">
            <v>38753</v>
          </cell>
          <cell r="F50" t="str">
            <v>M. Munevar Cont</v>
          </cell>
          <cell r="G50" t="str">
            <v>Ausencia al Servicio</v>
          </cell>
          <cell r="H50">
            <v>38756</v>
          </cell>
          <cell r="I50" t="str">
            <v>I</v>
          </cell>
          <cell r="J50" t="str">
            <v>permiso</v>
          </cell>
          <cell r="K50" t="str">
            <v>Rehum</v>
          </cell>
          <cell r="L50" t="str">
            <v>005N</v>
          </cell>
        </row>
        <row r="51">
          <cell r="A51">
            <v>21</v>
          </cell>
          <cell r="B51" t="str">
            <v>Contreras Quevedo W</v>
          </cell>
          <cell r="C51">
            <v>123273</v>
          </cell>
          <cell r="D51" t="str">
            <v>E.T.B</v>
          </cell>
          <cell r="E51">
            <v>38753</v>
          </cell>
          <cell r="F51" t="str">
            <v>H.Arevalo Contrl</v>
          </cell>
          <cell r="G51" t="str">
            <v>Ausencia al Servicio</v>
          </cell>
          <cell r="H51">
            <v>38757</v>
          </cell>
          <cell r="I51" t="str">
            <v>I</v>
          </cell>
          <cell r="J51" t="str">
            <v>permiso</v>
          </cell>
          <cell r="K51" t="str">
            <v>Rehum</v>
          </cell>
          <cell r="L51" t="str">
            <v>005N</v>
          </cell>
        </row>
        <row r="52">
          <cell r="A52">
            <v>7</v>
          </cell>
          <cell r="B52" t="str">
            <v>Bermudez Rodriguez</v>
          </cell>
          <cell r="C52">
            <v>186614</v>
          </cell>
          <cell r="D52" t="str">
            <v>C.M.</v>
          </cell>
          <cell r="E52">
            <v>38754</v>
          </cell>
          <cell r="F52" t="str">
            <v>H.Arevalo Contrl</v>
          </cell>
          <cell r="G52" t="str">
            <v>Ausencia al Servicio</v>
          </cell>
          <cell r="H52">
            <v>38754</v>
          </cell>
          <cell r="I52" t="str">
            <v>I</v>
          </cell>
          <cell r="J52" t="str">
            <v>permiso</v>
          </cell>
          <cell r="K52" t="str">
            <v>Rehum</v>
          </cell>
        </row>
        <row r="53">
          <cell r="A53">
            <v>59</v>
          </cell>
          <cell r="B53" t="str">
            <v>Niño Forero Luis</v>
          </cell>
          <cell r="C53">
            <v>186801</v>
          </cell>
          <cell r="D53" t="str">
            <v>Incolbes</v>
          </cell>
          <cell r="E53">
            <v>38761</v>
          </cell>
          <cell r="F53" t="str">
            <v>H.Arevalo Contrl</v>
          </cell>
          <cell r="G53" t="str">
            <v>Ausencia al Servicio</v>
          </cell>
          <cell r="H53">
            <v>38755</v>
          </cell>
          <cell r="I53" t="str">
            <v>I</v>
          </cell>
          <cell r="J53" t="str">
            <v>permiso</v>
          </cell>
          <cell r="K53" t="str">
            <v>Rehum</v>
          </cell>
          <cell r="L53" t="str">
            <v>005N</v>
          </cell>
        </row>
        <row r="54">
          <cell r="A54">
            <v>60</v>
          </cell>
          <cell r="B54" t="str">
            <v>Niño Forero Luis</v>
          </cell>
          <cell r="C54">
            <v>186801</v>
          </cell>
          <cell r="D54" t="str">
            <v>Incolbes</v>
          </cell>
          <cell r="E54">
            <v>38754</v>
          </cell>
          <cell r="F54" t="str">
            <v>Nubia Ben Prog</v>
          </cell>
          <cell r="G54" t="str">
            <v>Ausencia al Servicio</v>
          </cell>
          <cell r="H54">
            <v>38755</v>
          </cell>
          <cell r="I54" t="str">
            <v>I</v>
          </cell>
          <cell r="J54" t="str">
            <v>permiso</v>
          </cell>
          <cell r="K54" t="str">
            <v>Rehum</v>
          </cell>
          <cell r="L54" t="str">
            <v>005N</v>
          </cell>
        </row>
        <row r="55">
          <cell r="A55">
            <v>42</v>
          </cell>
          <cell r="B55" t="str">
            <v xml:space="preserve">Sanchez Mosquera </v>
          </cell>
          <cell r="C55">
            <v>186578</v>
          </cell>
          <cell r="D55" t="str">
            <v>E.T.B</v>
          </cell>
          <cell r="E55">
            <v>38762</v>
          </cell>
          <cell r="F55" t="str">
            <v>M. Munevar Cont</v>
          </cell>
          <cell r="G55" t="str">
            <v>Ausencia al Servicio</v>
          </cell>
          <cell r="H55">
            <v>38764</v>
          </cell>
          <cell r="I55" t="str">
            <v>I</v>
          </cell>
          <cell r="J55" t="str">
            <v>permiso</v>
          </cell>
          <cell r="K55" t="str">
            <v>Rehum</v>
          </cell>
          <cell r="L55" t="str">
            <v>006N</v>
          </cell>
        </row>
        <row r="56">
          <cell r="A56">
            <v>137</v>
          </cell>
          <cell r="B56" t="str">
            <v>Avila Garcia Ceasr</v>
          </cell>
          <cell r="C56">
            <v>25843</v>
          </cell>
          <cell r="D56" t="str">
            <v>C.M.</v>
          </cell>
          <cell r="E56">
            <v>38780</v>
          </cell>
          <cell r="F56" t="str">
            <v>Nubia Ben Prog</v>
          </cell>
          <cell r="G56" t="str">
            <v>Ausencia al Servicio</v>
          </cell>
          <cell r="H56">
            <v>38783</v>
          </cell>
          <cell r="I56" t="str">
            <v>I</v>
          </cell>
          <cell r="J56" t="str">
            <v>permiso</v>
          </cell>
          <cell r="K56" t="str">
            <v>Rehum</v>
          </cell>
          <cell r="L56" t="str">
            <v>009N</v>
          </cell>
        </row>
        <row r="57">
          <cell r="A57">
            <v>69</v>
          </cell>
          <cell r="B57" t="str">
            <v>Cañon Moreno Carlos</v>
          </cell>
          <cell r="C57">
            <v>186542</v>
          </cell>
          <cell r="D57" t="str">
            <v>C.M.</v>
          </cell>
          <cell r="E57">
            <v>38775</v>
          </cell>
          <cell r="F57" t="str">
            <v>M. Daza Contrl</v>
          </cell>
          <cell r="G57" t="str">
            <v>Ausencia al Servicio</v>
          </cell>
          <cell r="H57">
            <v>38733</v>
          </cell>
          <cell r="I57" t="str">
            <v>I</v>
          </cell>
          <cell r="K57" t="str">
            <v>Rehum</v>
          </cell>
          <cell r="L57" t="str">
            <v>005N</v>
          </cell>
        </row>
        <row r="58">
          <cell r="A58">
            <v>34</v>
          </cell>
          <cell r="B58" t="str">
            <v>Martin Pedro</v>
          </cell>
          <cell r="C58">
            <v>25526</v>
          </cell>
          <cell r="D58" t="str">
            <v>C.M.</v>
          </cell>
          <cell r="E58">
            <v>38737</v>
          </cell>
          <cell r="F58" t="str">
            <v>Vig 25735</v>
          </cell>
          <cell r="G58" t="str">
            <v>Cambio equivc gorra</v>
          </cell>
          <cell r="H58">
            <v>38763</v>
          </cell>
          <cell r="I58" t="str">
            <v>I</v>
          </cell>
          <cell r="J58" t="str">
            <v>Cambio gorras</v>
          </cell>
          <cell r="K58" t="str">
            <v>Rehum</v>
          </cell>
          <cell r="L58" t="str">
            <v>005N</v>
          </cell>
        </row>
        <row r="59">
          <cell r="A59">
            <v>90</v>
          </cell>
          <cell r="B59" t="str">
            <v>Jarramillo Bustamante</v>
          </cell>
          <cell r="C59">
            <v>123322</v>
          </cell>
          <cell r="D59" t="str">
            <v>P.Emp A</v>
          </cell>
          <cell r="E59">
            <v>38742</v>
          </cell>
          <cell r="F59" t="str">
            <v>N.Ladino A.Cani</v>
          </cell>
          <cell r="G59" t="str">
            <v>Curso de manejador</v>
          </cell>
          <cell r="H59">
            <v>38755</v>
          </cell>
          <cell r="I59" t="str">
            <v>I</v>
          </cell>
          <cell r="J59" t="str">
            <v>Acta Compromiso</v>
          </cell>
          <cell r="K59" t="str">
            <v>Rehum</v>
          </cell>
          <cell r="L59" t="str">
            <v>005N</v>
          </cell>
        </row>
        <row r="60">
          <cell r="A60">
            <v>256</v>
          </cell>
          <cell r="B60" t="str">
            <v>Gonzalez Espitia O</v>
          </cell>
          <cell r="C60">
            <v>186459</v>
          </cell>
          <cell r="D60" t="str">
            <v>C.M.</v>
          </cell>
          <cell r="E60">
            <v>38809</v>
          </cell>
          <cell r="F60" t="str">
            <v>Sup Ardila</v>
          </cell>
          <cell r="G60" t="str">
            <v>Devuel por embriagz</v>
          </cell>
          <cell r="H60">
            <v>38813</v>
          </cell>
          <cell r="I60" t="str">
            <v>I</v>
          </cell>
          <cell r="J60" t="str">
            <v>Descargos</v>
          </cell>
          <cell r="K60" t="str">
            <v>Programac</v>
          </cell>
        </row>
        <row r="61">
          <cell r="A61">
            <v>253</v>
          </cell>
          <cell r="B61" t="str">
            <v>Gonzalez Espitia O</v>
          </cell>
          <cell r="C61">
            <v>186459</v>
          </cell>
          <cell r="D61" t="str">
            <v>C.M.</v>
          </cell>
          <cell r="E61">
            <v>38778</v>
          </cell>
          <cell r="F61" t="str">
            <v>M. Daza Contrl</v>
          </cell>
          <cell r="G61" t="str">
            <v>Devuel por embriagz</v>
          </cell>
          <cell r="H61">
            <v>38813</v>
          </cell>
          <cell r="I61" t="str">
            <v>I</v>
          </cell>
          <cell r="J61" t="str">
            <v>Descargos</v>
          </cell>
          <cell r="K61" t="str">
            <v>Programac</v>
          </cell>
        </row>
        <row r="62">
          <cell r="A62">
            <v>254</v>
          </cell>
          <cell r="B62" t="str">
            <v>Gonzalez Espitia O</v>
          </cell>
          <cell r="C62">
            <v>186459</v>
          </cell>
          <cell r="D62" t="str">
            <v>C.M.</v>
          </cell>
          <cell r="E62">
            <v>38802</v>
          </cell>
          <cell r="F62" t="str">
            <v>Sup Guevara</v>
          </cell>
          <cell r="G62" t="str">
            <v>Devuel por embriagz</v>
          </cell>
          <cell r="H62">
            <v>38813</v>
          </cell>
          <cell r="I62" t="str">
            <v>I</v>
          </cell>
          <cell r="J62" t="str">
            <v>Descargos</v>
          </cell>
          <cell r="K62" t="str">
            <v>Programac</v>
          </cell>
        </row>
        <row r="63">
          <cell r="A63">
            <v>288</v>
          </cell>
          <cell r="B63" t="str">
            <v>Orjuela Rodriguez Jorge</v>
          </cell>
          <cell r="C63">
            <v>123389</v>
          </cell>
          <cell r="D63" t="str">
            <v>Dotamarca</v>
          </cell>
          <cell r="E63">
            <v>38806</v>
          </cell>
          <cell r="F63" t="str">
            <v>Coor Doku</v>
          </cell>
          <cell r="G63" t="str">
            <v>documentos</v>
          </cell>
          <cell r="H63">
            <v>38815</v>
          </cell>
          <cell r="I63" t="str">
            <v>I</v>
          </cell>
          <cell r="J63" t="str">
            <v>Llamado atención</v>
          </cell>
          <cell r="K63" t="str">
            <v>Rehum</v>
          </cell>
          <cell r="L63" t="str">
            <v>009N</v>
          </cell>
        </row>
        <row r="64">
          <cell r="A64">
            <v>23</v>
          </cell>
          <cell r="B64" t="str">
            <v>Prada Luis</v>
          </cell>
          <cell r="C64">
            <v>25845</v>
          </cell>
          <cell r="D64" t="str">
            <v>IMAL</v>
          </cell>
          <cell r="E64">
            <v>38749</v>
          </cell>
          <cell r="F64" t="str">
            <v>Usuario</v>
          </cell>
          <cell r="G64" t="str">
            <v>Dormido puesto</v>
          </cell>
          <cell r="H64">
            <v>38761</v>
          </cell>
          <cell r="I64" t="str">
            <v>I</v>
          </cell>
          <cell r="J64" t="str">
            <v>Carta renuncia</v>
          </cell>
          <cell r="K64" t="str">
            <v>Rehum</v>
          </cell>
          <cell r="L64" t="str">
            <v>Omitido</v>
          </cell>
        </row>
        <row r="65">
          <cell r="A65">
            <v>251</v>
          </cell>
          <cell r="B65" t="str">
            <v>Holguin Carlos</v>
          </cell>
          <cell r="C65">
            <v>25636</v>
          </cell>
          <cell r="D65" t="str">
            <v>Incolbes</v>
          </cell>
          <cell r="E65">
            <v>38799</v>
          </cell>
          <cell r="F65" t="str">
            <v>Coor Doku</v>
          </cell>
          <cell r="G65" t="str">
            <v>Dormido puesto</v>
          </cell>
          <cell r="H65">
            <v>38813</v>
          </cell>
          <cell r="I65" t="str">
            <v>I</v>
          </cell>
          <cell r="J65" t="str">
            <v>Carta renuncia</v>
          </cell>
          <cell r="K65" t="str">
            <v>Programac</v>
          </cell>
        </row>
        <row r="66">
          <cell r="A66">
            <v>14</v>
          </cell>
          <cell r="B66" t="str">
            <v>Lopez Carlos Alirio</v>
          </cell>
          <cell r="C66">
            <v>123193</v>
          </cell>
          <cell r="D66" t="str">
            <v>E.T.B</v>
          </cell>
          <cell r="E66">
            <v>38772</v>
          </cell>
          <cell r="F66" t="str">
            <v>Sup Huertas</v>
          </cell>
          <cell r="G66" t="str">
            <v>Dormido puesto</v>
          </cell>
          <cell r="H66">
            <v>38756</v>
          </cell>
          <cell r="I66" t="str">
            <v>I</v>
          </cell>
          <cell r="J66" t="str">
            <v>Descargos</v>
          </cell>
          <cell r="K66" t="str">
            <v>Rehum</v>
          </cell>
        </row>
        <row r="67">
          <cell r="A67">
            <v>200</v>
          </cell>
          <cell r="B67" t="str">
            <v>Rua Roger</v>
          </cell>
          <cell r="C67">
            <v>123317</v>
          </cell>
          <cell r="D67" t="str">
            <v>E.T.B</v>
          </cell>
          <cell r="E67">
            <v>38795</v>
          </cell>
          <cell r="F67" t="str">
            <v>Coor H. Sanchez</v>
          </cell>
          <cell r="G67" t="str">
            <v>Dormido puesto</v>
          </cell>
          <cell r="H67">
            <v>38797</v>
          </cell>
          <cell r="I67" t="str">
            <v>I</v>
          </cell>
          <cell r="J67" t="str">
            <v>Descargos</v>
          </cell>
          <cell r="K67" t="str">
            <v>Rehum</v>
          </cell>
          <cell r="L67">
            <v>137</v>
          </cell>
        </row>
        <row r="68">
          <cell r="A68">
            <v>201</v>
          </cell>
          <cell r="B68" t="str">
            <v>Encizo Melo Jose</v>
          </cell>
          <cell r="D68" t="str">
            <v>E.T.B</v>
          </cell>
          <cell r="E68">
            <v>38795</v>
          </cell>
          <cell r="F68" t="str">
            <v>Coor H. Sanchez</v>
          </cell>
          <cell r="G68" t="str">
            <v>Dormido puesto</v>
          </cell>
          <cell r="H68">
            <v>38797</v>
          </cell>
          <cell r="I68" t="str">
            <v>I</v>
          </cell>
          <cell r="J68" t="str">
            <v>Descargos</v>
          </cell>
          <cell r="K68" t="str">
            <v>Rehum</v>
          </cell>
          <cell r="L68">
            <v>137</v>
          </cell>
        </row>
        <row r="69">
          <cell r="A69">
            <v>250</v>
          </cell>
          <cell r="B69" t="str">
            <v>Carlos Gonzalez</v>
          </cell>
          <cell r="C69">
            <v>186834</v>
          </cell>
          <cell r="D69" t="str">
            <v>Incolbes</v>
          </cell>
          <cell r="E69">
            <v>38799</v>
          </cell>
          <cell r="F69" t="str">
            <v>Coor Doku</v>
          </cell>
          <cell r="G69" t="str">
            <v>Dormido puesto</v>
          </cell>
          <cell r="H69">
            <v>38813</v>
          </cell>
          <cell r="I69" t="str">
            <v>I</v>
          </cell>
          <cell r="J69" t="str">
            <v>Descargos</v>
          </cell>
          <cell r="K69" t="str">
            <v>Programac</v>
          </cell>
        </row>
        <row r="70">
          <cell r="A70">
            <v>268</v>
          </cell>
          <cell r="B70" t="str">
            <v>Ruiz Diego Alberto</v>
          </cell>
          <cell r="C70">
            <v>186742</v>
          </cell>
          <cell r="D70" t="str">
            <v>E.T.B</v>
          </cell>
          <cell r="E70">
            <v>38808</v>
          </cell>
          <cell r="F70" t="str">
            <v>Sup Ibague</v>
          </cell>
          <cell r="G70" t="str">
            <v>Dormido puesto</v>
          </cell>
          <cell r="H70">
            <v>38817</v>
          </cell>
          <cell r="I70" t="str">
            <v>I</v>
          </cell>
          <cell r="J70" t="str">
            <v>Descargos</v>
          </cell>
          <cell r="K70" t="str">
            <v>Programac</v>
          </cell>
        </row>
        <row r="71">
          <cell r="A71">
            <v>258</v>
          </cell>
          <cell r="B71" t="str">
            <v>Zabala Jose</v>
          </cell>
          <cell r="C71">
            <v>123058</v>
          </cell>
          <cell r="D71" t="str">
            <v>U Rosar</v>
          </cell>
          <cell r="E71">
            <v>38809</v>
          </cell>
          <cell r="F71" t="str">
            <v>Sup Bonilla J</v>
          </cell>
          <cell r="G71" t="str">
            <v>Dormido puesto</v>
          </cell>
          <cell r="H71">
            <v>38813</v>
          </cell>
          <cell r="I71" t="str">
            <v>I</v>
          </cell>
          <cell r="J71" t="str">
            <v>Descargos</v>
          </cell>
          <cell r="K71" t="str">
            <v>Programac</v>
          </cell>
        </row>
        <row r="72">
          <cell r="A72">
            <v>35</v>
          </cell>
          <cell r="B72" t="str">
            <v>Rodriguez Mogollon</v>
          </cell>
          <cell r="C72">
            <v>123440</v>
          </cell>
          <cell r="D72" t="str">
            <v>U Rosar</v>
          </cell>
          <cell r="E72">
            <v>38763</v>
          </cell>
          <cell r="F72" t="str">
            <v>Encar J.C.Bonilla</v>
          </cell>
          <cell r="G72" t="str">
            <v>Dormido puesto</v>
          </cell>
          <cell r="H72">
            <v>38763</v>
          </cell>
          <cell r="I72" t="str">
            <v>I</v>
          </cell>
          <cell r="J72" t="str">
            <v>permiso</v>
          </cell>
          <cell r="K72" t="str">
            <v>Rehum</v>
          </cell>
          <cell r="L72" t="str">
            <v>005N</v>
          </cell>
        </row>
        <row r="73">
          <cell r="A73">
            <v>195</v>
          </cell>
          <cell r="B73" t="str">
            <v>Escobar Quitian Carls</v>
          </cell>
          <cell r="C73">
            <v>25922</v>
          </cell>
          <cell r="D73" t="str">
            <v>E.T.B</v>
          </cell>
          <cell r="E73">
            <v>38785</v>
          </cell>
          <cell r="F73" t="str">
            <v>Sup. Ibague</v>
          </cell>
          <cell r="G73" t="str">
            <v>Dormido puesto</v>
          </cell>
          <cell r="H73">
            <v>38797</v>
          </cell>
          <cell r="I73" t="str">
            <v>I</v>
          </cell>
          <cell r="J73" t="str">
            <v>permiso</v>
          </cell>
          <cell r="K73" t="str">
            <v>Rehum</v>
          </cell>
          <cell r="L73" t="str">
            <v>007N</v>
          </cell>
        </row>
        <row r="74">
          <cell r="A74">
            <v>143</v>
          </cell>
          <cell r="B74" t="str">
            <v>Cardenas Parra Jaim</v>
          </cell>
          <cell r="C74">
            <v>186617</v>
          </cell>
          <cell r="D74" t="str">
            <v>C. Dorad</v>
          </cell>
          <cell r="E74">
            <v>38742</v>
          </cell>
          <cell r="F74" t="str">
            <v>Sup Fernandez</v>
          </cell>
          <cell r="G74" t="str">
            <v>Dormido puesto</v>
          </cell>
          <cell r="H74">
            <v>38785</v>
          </cell>
          <cell r="I74" t="str">
            <v>I</v>
          </cell>
          <cell r="J74" t="str">
            <v>permiso</v>
          </cell>
          <cell r="K74" t="str">
            <v>Programac</v>
          </cell>
        </row>
        <row r="75">
          <cell r="A75">
            <v>192</v>
          </cell>
          <cell r="B75" t="str">
            <v>España Burbano H</v>
          </cell>
          <cell r="C75">
            <v>186888</v>
          </cell>
          <cell r="D75" t="str">
            <v>Banestad</v>
          </cell>
          <cell r="E75">
            <v>38786</v>
          </cell>
          <cell r="F75" t="str">
            <v>Sup Agudelo</v>
          </cell>
          <cell r="G75" t="str">
            <v>Dormido puesto</v>
          </cell>
          <cell r="H75">
            <v>38794</v>
          </cell>
          <cell r="I75" t="str">
            <v>I</v>
          </cell>
          <cell r="J75" t="str">
            <v>permiso</v>
          </cell>
          <cell r="K75" t="str">
            <v>Rehum</v>
          </cell>
          <cell r="L75" t="str">
            <v>008N</v>
          </cell>
        </row>
        <row r="76">
          <cell r="A76">
            <v>41</v>
          </cell>
          <cell r="B76" t="str">
            <v>Graciano Jose</v>
          </cell>
          <cell r="C76">
            <v>25989</v>
          </cell>
          <cell r="D76" t="str">
            <v>Banestad</v>
          </cell>
          <cell r="E76">
            <v>38759</v>
          </cell>
          <cell r="F76" t="str">
            <v>Sup Gonzalez</v>
          </cell>
          <cell r="G76" t="str">
            <v>Dormido puesto</v>
          </cell>
          <cell r="H76">
            <v>38764</v>
          </cell>
          <cell r="I76" t="str">
            <v>I</v>
          </cell>
          <cell r="J76" t="str">
            <v>permiso</v>
          </cell>
          <cell r="K76" t="str">
            <v>Programac</v>
          </cell>
        </row>
        <row r="77">
          <cell r="A77">
            <v>134</v>
          </cell>
          <cell r="B77" t="str">
            <v>Palacios Ordoñez Fa</v>
          </cell>
          <cell r="C77">
            <v>25993</v>
          </cell>
          <cell r="D77" t="str">
            <v>E.T.B</v>
          </cell>
          <cell r="E77">
            <v>38761</v>
          </cell>
          <cell r="F77" t="str">
            <v>Coor H. Sanchez</v>
          </cell>
          <cell r="G77" t="str">
            <v>Dormido puesto</v>
          </cell>
          <cell r="H77">
            <v>38761</v>
          </cell>
          <cell r="I77" t="str">
            <v>I</v>
          </cell>
          <cell r="J77" t="str">
            <v>Traslado</v>
          </cell>
          <cell r="K77" t="str">
            <v>Programac</v>
          </cell>
          <cell r="L77" t="str">
            <v>Omitido</v>
          </cell>
        </row>
        <row r="78">
          <cell r="A78">
            <v>45</v>
          </cell>
          <cell r="B78" t="str">
            <v>Cujiño Gomez C</v>
          </cell>
          <cell r="C78">
            <v>332820</v>
          </cell>
          <cell r="D78" t="str">
            <v>C.M.</v>
          </cell>
          <cell r="E78">
            <v>38757</v>
          </cell>
          <cell r="F78" t="str">
            <v>Kaor Doku</v>
          </cell>
          <cell r="G78" t="str">
            <v>Incumpl Consignas</v>
          </cell>
          <cell r="H78">
            <v>38764</v>
          </cell>
          <cell r="I78" t="str">
            <v>I</v>
          </cell>
          <cell r="J78" t="str">
            <v>Carta renuncia</v>
          </cell>
          <cell r="K78" t="str">
            <v>Rehum</v>
          </cell>
          <cell r="L78" t="str">
            <v>Omitido</v>
          </cell>
        </row>
        <row r="79">
          <cell r="A79">
            <v>282</v>
          </cell>
          <cell r="B79" t="str">
            <v>Rocha Tacuma Luis</v>
          </cell>
          <cell r="C79">
            <v>25969</v>
          </cell>
          <cell r="D79" t="str">
            <v>E.T.B</v>
          </cell>
          <cell r="E79">
            <v>38788</v>
          </cell>
          <cell r="F79" t="str">
            <v>Vig Cristna Montea</v>
          </cell>
          <cell r="G79" t="str">
            <v>no reporta</v>
          </cell>
          <cell r="H79">
            <v>38818</v>
          </cell>
          <cell r="I79" t="str">
            <v>I</v>
          </cell>
          <cell r="J79" t="str">
            <v>Acta Compromiso</v>
          </cell>
          <cell r="K79" t="str">
            <v>Programac</v>
          </cell>
        </row>
        <row r="80">
          <cell r="A80">
            <v>249</v>
          </cell>
          <cell r="B80" t="str">
            <v>Jaramillo Cenober</v>
          </cell>
          <cell r="C80">
            <v>186658</v>
          </cell>
          <cell r="D80" t="str">
            <v>C.E.M</v>
          </cell>
          <cell r="E80">
            <v>38794</v>
          </cell>
          <cell r="F80" t="str">
            <v>Sup Useche</v>
          </cell>
          <cell r="G80" t="str">
            <v>Incumpl Citación</v>
          </cell>
          <cell r="H80">
            <v>38813</v>
          </cell>
          <cell r="I80" t="str">
            <v>I</v>
          </cell>
          <cell r="J80" t="str">
            <v>Descargos</v>
          </cell>
          <cell r="K80" t="str">
            <v>Programac</v>
          </cell>
        </row>
        <row r="81">
          <cell r="A81">
            <v>36</v>
          </cell>
          <cell r="B81" t="str">
            <v>Serna Montegro Albe</v>
          </cell>
          <cell r="C81">
            <v>186732</v>
          </cell>
          <cell r="D81" t="str">
            <v>E.A.N</v>
          </cell>
          <cell r="E81">
            <v>38759</v>
          </cell>
          <cell r="F81" t="str">
            <v>Sup Garnica</v>
          </cell>
          <cell r="G81" t="str">
            <v>Incumpl Consignas</v>
          </cell>
          <cell r="H81">
            <v>38763</v>
          </cell>
          <cell r="I81" t="str">
            <v>I</v>
          </cell>
          <cell r="J81" t="str">
            <v>Acta Compromiso</v>
          </cell>
          <cell r="K81" t="str">
            <v>Rehum</v>
          </cell>
          <cell r="L81" t="str">
            <v>005N</v>
          </cell>
        </row>
        <row r="82">
          <cell r="A82">
            <v>197</v>
          </cell>
          <cell r="B82" t="str">
            <v xml:space="preserve">Perdomo Botello </v>
          </cell>
          <cell r="C82">
            <v>25800</v>
          </cell>
          <cell r="D82" t="str">
            <v>C.E.M</v>
          </cell>
          <cell r="E82">
            <v>38784</v>
          </cell>
          <cell r="F82" t="str">
            <v>Sup. Rojas</v>
          </cell>
          <cell r="G82" t="str">
            <v>Incumpl Consignas</v>
          </cell>
          <cell r="H82">
            <v>38797</v>
          </cell>
          <cell r="I82" t="str">
            <v>I</v>
          </cell>
          <cell r="J82" t="str">
            <v>Acta Compromiso</v>
          </cell>
          <cell r="K82" t="str">
            <v>Rehum</v>
          </cell>
          <cell r="L82" t="str">
            <v>007N</v>
          </cell>
        </row>
        <row r="83">
          <cell r="A83">
            <v>207</v>
          </cell>
          <cell r="B83" t="str">
            <v>Gomez Parra Alvaro</v>
          </cell>
          <cell r="C83">
            <v>186713</v>
          </cell>
          <cell r="D83" t="str">
            <v>C.M.</v>
          </cell>
          <cell r="E83">
            <v>38786</v>
          </cell>
          <cell r="F83" t="str">
            <v>Sup. Guevara</v>
          </cell>
          <cell r="G83" t="str">
            <v>Incumpl Consignas</v>
          </cell>
          <cell r="H83">
            <v>38798</v>
          </cell>
          <cell r="I83" t="str">
            <v>I</v>
          </cell>
          <cell r="J83" t="str">
            <v>Acta Compromiso</v>
          </cell>
          <cell r="K83" t="str">
            <v>Rehum</v>
          </cell>
          <cell r="L83" t="str">
            <v>008N</v>
          </cell>
        </row>
        <row r="84">
          <cell r="A84">
            <v>271</v>
          </cell>
          <cell r="B84" t="str">
            <v>Ramirez Acevedo Ediss</v>
          </cell>
          <cell r="C84">
            <v>186813</v>
          </cell>
          <cell r="D84" t="str">
            <v>E.T.B</v>
          </cell>
          <cell r="E84">
            <v>38820</v>
          </cell>
          <cell r="F84" t="str">
            <v>Vg Romero Cupitra</v>
          </cell>
          <cell r="G84" t="str">
            <v>Incumpl Consignas</v>
          </cell>
          <cell r="H84">
            <v>38818</v>
          </cell>
          <cell r="I84" t="str">
            <v>I</v>
          </cell>
          <cell r="J84" t="str">
            <v>Acta Compromiso</v>
          </cell>
          <cell r="K84" t="str">
            <v>Programac</v>
          </cell>
        </row>
        <row r="85">
          <cell r="A85">
            <v>161</v>
          </cell>
          <cell r="B85" t="str">
            <v>Tovar Mauricio</v>
          </cell>
          <cell r="C85">
            <v>25927</v>
          </cell>
          <cell r="D85" t="str">
            <v>I.T.la S</v>
          </cell>
          <cell r="E85">
            <v>38774</v>
          </cell>
          <cell r="F85" t="str">
            <v>Cliente</v>
          </cell>
          <cell r="G85" t="str">
            <v>Incumpl Consignas</v>
          </cell>
          <cell r="H85">
            <v>38789</v>
          </cell>
          <cell r="I85" t="str">
            <v>I</v>
          </cell>
          <cell r="J85" t="str">
            <v>Carta renuncia</v>
          </cell>
          <cell r="K85" t="str">
            <v>Rehum</v>
          </cell>
          <cell r="L85" t="str">
            <v>Omitido</v>
          </cell>
        </row>
        <row r="86">
          <cell r="A86">
            <v>132</v>
          </cell>
          <cell r="B86" t="str">
            <v>Caceres Jose D</v>
          </cell>
          <cell r="D86" t="str">
            <v>E.T.B</v>
          </cell>
          <cell r="E86">
            <v>38772</v>
          </cell>
          <cell r="F86" t="str">
            <v>Coor N.Cifuentes</v>
          </cell>
          <cell r="G86" t="str">
            <v>Incumpl Consignas</v>
          </cell>
          <cell r="H86">
            <v>38777</v>
          </cell>
          <cell r="I86" t="str">
            <v>I</v>
          </cell>
          <cell r="J86" t="str">
            <v>Descargos</v>
          </cell>
          <cell r="K86" t="str">
            <v>Rehum</v>
          </cell>
          <cell r="L86">
            <v>103</v>
          </cell>
        </row>
        <row r="87">
          <cell r="A87">
            <v>262</v>
          </cell>
          <cell r="B87" t="str">
            <v>Lopez Carlos</v>
          </cell>
          <cell r="C87">
            <v>123193</v>
          </cell>
          <cell r="D87" t="str">
            <v>E.T.B</v>
          </cell>
          <cell r="E87">
            <v>38811</v>
          </cell>
          <cell r="F87" t="str">
            <v>Coor N.Cifuentes</v>
          </cell>
          <cell r="G87" t="str">
            <v>Incumpl Consignas</v>
          </cell>
          <cell r="H87">
            <v>38815</v>
          </cell>
          <cell r="I87" t="str">
            <v>I</v>
          </cell>
          <cell r="J87" t="str">
            <v>Descargos</v>
          </cell>
          <cell r="K87" t="str">
            <v>Programac</v>
          </cell>
        </row>
        <row r="88">
          <cell r="A88">
            <v>154</v>
          </cell>
          <cell r="B88" t="str">
            <v>Bonilla Juan C</v>
          </cell>
          <cell r="C88">
            <v>25700</v>
          </cell>
          <cell r="D88" t="str">
            <v>U Rosar</v>
          </cell>
          <cell r="E88">
            <v>38763</v>
          </cell>
          <cell r="F88" t="str">
            <v>Vig Rodriguez M</v>
          </cell>
          <cell r="G88" t="str">
            <v>Incumpl Consignas</v>
          </cell>
          <cell r="H88">
            <v>38787</v>
          </cell>
          <cell r="I88" t="str">
            <v>I</v>
          </cell>
          <cell r="J88" t="str">
            <v>Llamado atención</v>
          </cell>
          <cell r="K88" t="str">
            <v>Rehum</v>
          </cell>
          <cell r="L88">
            <v>115</v>
          </cell>
        </row>
        <row r="89">
          <cell r="A89">
            <v>281</v>
          </cell>
          <cell r="B89" t="str">
            <v>España Burbano H</v>
          </cell>
          <cell r="C89">
            <v>286888</v>
          </cell>
          <cell r="D89" t="str">
            <v>Banestad</v>
          </cell>
          <cell r="E89">
            <v>38808</v>
          </cell>
          <cell r="F89" t="str">
            <v>Sup Ibague</v>
          </cell>
          <cell r="G89" t="str">
            <v>Incumpl Consignas</v>
          </cell>
          <cell r="H89">
            <v>38818</v>
          </cell>
          <cell r="I89" t="str">
            <v>I</v>
          </cell>
          <cell r="J89" t="str">
            <v>Llamado atención</v>
          </cell>
          <cell r="K89" t="str">
            <v>Rehum</v>
          </cell>
          <cell r="L89" t="str">
            <v>009N</v>
          </cell>
        </row>
        <row r="90">
          <cell r="A90">
            <v>135</v>
          </cell>
          <cell r="B90" t="str">
            <v>Diaz Serafin</v>
          </cell>
          <cell r="C90">
            <v>26051</v>
          </cell>
          <cell r="D90" t="str">
            <v>E.T.B</v>
          </cell>
          <cell r="E90">
            <v>38778</v>
          </cell>
          <cell r="F90" t="str">
            <v>Nubia Ben Prog</v>
          </cell>
          <cell r="G90" t="str">
            <v>Incumpl Consignas</v>
          </cell>
          <cell r="H90">
            <v>38779</v>
          </cell>
          <cell r="I90" t="str">
            <v>I</v>
          </cell>
          <cell r="J90" t="str">
            <v>permiso</v>
          </cell>
          <cell r="K90" t="str">
            <v>Rehum</v>
          </cell>
          <cell r="L90" t="str">
            <v>006N</v>
          </cell>
        </row>
        <row r="91">
          <cell r="A91">
            <v>198</v>
          </cell>
          <cell r="B91" t="str">
            <v>Alvardo Avila Marco</v>
          </cell>
          <cell r="C91">
            <v>186815</v>
          </cell>
          <cell r="D91" t="str">
            <v>C.M.</v>
          </cell>
          <cell r="E91">
            <v>38789</v>
          </cell>
          <cell r="F91" t="str">
            <v>Sup. Guevara</v>
          </cell>
          <cell r="G91" t="str">
            <v>Incumpl Consignas</v>
          </cell>
          <cell r="H91">
            <v>38797</v>
          </cell>
          <cell r="I91" t="str">
            <v>I</v>
          </cell>
          <cell r="J91" t="str">
            <v>Se le hace reentren</v>
          </cell>
          <cell r="K91" t="str">
            <v>Rehum</v>
          </cell>
          <cell r="L91" t="str">
            <v>007N</v>
          </cell>
        </row>
        <row r="92">
          <cell r="A92">
            <v>26</v>
          </cell>
          <cell r="B92" t="str">
            <v>Manjarres Jose R</v>
          </cell>
          <cell r="C92">
            <v>186493</v>
          </cell>
          <cell r="D92" t="str">
            <v>E.T.B</v>
          </cell>
          <cell r="E92">
            <v>38761</v>
          </cell>
          <cell r="F92" t="str">
            <v>Coor H. Sanchez</v>
          </cell>
          <cell r="G92" t="str">
            <v>Incumpl Consignas</v>
          </cell>
          <cell r="H92">
            <v>38761</v>
          </cell>
          <cell r="I92" t="str">
            <v>I</v>
          </cell>
          <cell r="J92" t="str">
            <v>Traslado</v>
          </cell>
          <cell r="K92" t="str">
            <v>Programac</v>
          </cell>
          <cell r="L92" t="str">
            <v>Omitido</v>
          </cell>
        </row>
        <row r="93">
          <cell r="A93">
            <v>265</v>
          </cell>
          <cell r="B93" t="str">
            <v>Quimbayo Eloy</v>
          </cell>
          <cell r="C93">
            <v>186576</v>
          </cell>
          <cell r="D93" t="str">
            <v>U Rosar</v>
          </cell>
          <cell r="E93">
            <v>38802</v>
          </cell>
          <cell r="F93" t="str">
            <v>Vig Perez Octavio</v>
          </cell>
          <cell r="G93" t="str">
            <v>Informe periodico</v>
          </cell>
          <cell r="H93">
            <v>38817</v>
          </cell>
          <cell r="I93" t="str">
            <v>I</v>
          </cell>
          <cell r="J93" t="str">
            <v>Llamado atención</v>
          </cell>
          <cell r="K93" t="str">
            <v>Programac</v>
          </cell>
        </row>
        <row r="94">
          <cell r="A94">
            <v>280</v>
          </cell>
          <cell r="B94" t="str">
            <v>Lozada Omar</v>
          </cell>
          <cell r="C94">
            <v>26021</v>
          </cell>
          <cell r="D94" t="str">
            <v>U Rosar</v>
          </cell>
          <cell r="E94">
            <v>38814</v>
          </cell>
          <cell r="F94" t="str">
            <v>Coor J. Tiusso</v>
          </cell>
          <cell r="G94" t="str">
            <v>Mal trato</v>
          </cell>
          <cell r="H94">
            <v>38818</v>
          </cell>
          <cell r="I94" t="str">
            <v>I</v>
          </cell>
          <cell r="J94" t="str">
            <v>Descargos</v>
          </cell>
          <cell r="K94" t="str">
            <v>Programac</v>
          </cell>
        </row>
        <row r="95">
          <cell r="A95">
            <v>138</v>
          </cell>
          <cell r="B95" t="str">
            <v>Triviño orlando</v>
          </cell>
          <cell r="C95">
            <v>186655</v>
          </cell>
          <cell r="D95" t="str">
            <v>E.T.B</v>
          </cell>
          <cell r="E95">
            <v>38769</v>
          </cell>
          <cell r="F95" t="str">
            <v>Sup Ardila</v>
          </cell>
          <cell r="G95" t="str">
            <v>Mal trato</v>
          </cell>
          <cell r="H95">
            <v>38783</v>
          </cell>
          <cell r="I95" t="str">
            <v>I</v>
          </cell>
          <cell r="J95" t="str">
            <v>Descargos</v>
          </cell>
          <cell r="K95" t="str">
            <v>Rehum</v>
          </cell>
          <cell r="L95">
            <v>110</v>
          </cell>
        </row>
        <row r="96">
          <cell r="A96">
            <v>245</v>
          </cell>
          <cell r="B96" t="str">
            <v>Rojas Carlos</v>
          </cell>
          <cell r="D96" t="str">
            <v>C.E.M</v>
          </cell>
          <cell r="E96">
            <v>38784</v>
          </cell>
          <cell r="F96" t="str">
            <v>Vg Perdomo Botll</v>
          </cell>
          <cell r="G96" t="str">
            <v>Mal trato</v>
          </cell>
          <cell r="H96">
            <v>38799</v>
          </cell>
          <cell r="I96" t="str">
            <v>I</v>
          </cell>
          <cell r="J96" t="str">
            <v>Llamado atención</v>
          </cell>
          <cell r="K96" t="str">
            <v>Rehum</v>
          </cell>
          <cell r="L96" t="str">
            <v>009N</v>
          </cell>
        </row>
        <row r="97">
          <cell r="A97">
            <v>206</v>
          </cell>
          <cell r="B97" t="str">
            <v>Florez Jhon</v>
          </cell>
          <cell r="C97">
            <v>123080</v>
          </cell>
          <cell r="D97" t="str">
            <v>G.W.S</v>
          </cell>
          <cell r="E97">
            <v>38785</v>
          </cell>
          <cell r="F97" t="str">
            <v>Cliente</v>
          </cell>
          <cell r="G97" t="str">
            <v>Mala Presentación</v>
          </cell>
          <cell r="H97">
            <v>38788</v>
          </cell>
          <cell r="I97" t="str">
            <v>I</v>
          </cell>
          <cell r="J97" t="str">
            <v>Acta Compromiso</v>
          </cell>
          <cell r="K97" t="str">
            <v>Rehum</v>
          </cell>
          <cell r="L97">
            <v>138</v>
          </cell>
        </row>
        <row r="98">
          <cell r="A98">
            <v>25</v>
          </cell>
          <cell r="B98" t="str">
            <v xml:space="preserve">Rodriguez Quiroga </v>
          </cell>
          <cell r="C98">
            <v>186697</v>
          </cell>
          <cell r="D98" t="str">
            <v>E.T.B</v>
          </cell>
          <cell r="E98">
            <v>38761</v>
          </cell>
          <cell r="F98" t="str">
            <v>Coor H. Sanchez</v>
          </cell>
          <cell r="G98" t="str">
            <v>Manipular equipos Cl</v>
          </cell>
          <cell r="H98">
            <v>38761</v>
          </cell>
          <cell r="I98" t="str">
            <v>I</v>
          </cell>
          <cell r="J98" t="str">
            <v>Traslado</v>
          </cell>
          <cell r="K98" t="str">
            <v>Programac</v>
          </cell>
          <cell r="L98" t="str">
            <v>Omitido</v>
          </cell>
        </row>
        <row r="99">
          <cell r="A99">
            <v>48</v>
          </cell>
          <cell r="B99" t="str">
            <v>Molina Abril J</v>
          </cell>
          <cell r="C99">
            <v>186589</v>
          </cell>
          <cell r="D99" t="str">
            <v>Canciller</v>
          </cell>
          <cell r="E99">
            <v>38734</v>
          </cell>
          <cell r="F99" t="str">
            <v>Coor D. Beltran</v>
          </cell>
          <cell r="G99" t="str">
            <v>Incumpl Consignas</v>
          </cell>
          <cell r="H99">
            <v>38766</v>
          </cell>
          <cell r="I99" t="str">
            <v>I</v>
          </cell>
          <cell r="J99" t="str">
            <v>Acta Compromiso</v>
          </cell>
          <cell r="K99" t="str">
            <v>Rehum</v>
          </cell>
          <cell r="L99" t="str">
            <v>005N</v>
          </cell>
        </row>
        <row r="100">
          <cell r="A100">
            <v>50</v>
          </cell>
          <cell r="B100" t="str">
            <v>Martinez Zipaquira Bea</v>
          </cell>
          <cell r="C100">
            <v>186534</v>
          </cell>
          <cell r="D100" t="str">
            <v>Canciller</v>
          </cell>
          <cell r="E100">
            <v>38736</v>
          </cell>
          <cell r="F100" t="str">
            <v>Sup Gonzalez</v>
          </cell>
          <cell r="G100" t="str">
            <v>Incumpl Consignas</v>
          </cell>
          <cell r="H100">
            <v>38766</v>
          </cell>
          <cell r="I100" t="str">
            <v>I</v>
          </cell>
          <cell r="J100" t="str">
            <v>Acta Compromiso</v>
          </cell>
          <cell r="K100" t="str">
            <v>Programac</v>
          </cell>
          <cell r="L100" t="str">
            <v>005N</v>
          </cell>
        </row>
        <row r="101">
          <cell r="A101">
            <v>57</v>
          </cell>
          <cell r="B101" t="str">
            <v>Roble Rey David</v>
          </cell>
          <cell r="C101">
            <v>186909</v>
          </cell>
          <cell r="D101" t="str">
            <v>C.M.</v>
          </cell>
          <cell r="E101">
            <v>38763</v>
          </cell>
          <cell r="F101" t="str">
            <v>Sup Huertas</v>
          </cell>
          <cell r="G101" t="str">
            <v>Incumpl Consignas</v>
          </cell>
          <cell r="H101">
            <v>38772</v>
          </cell>
          <cell r="I101" t="str">
            <v>I</v>
          </cell>
          <cell r="J101" t="str">
            <v>Acta Compromiso</v>
          </cell>
          <cell r="K101" t="str">
            <v>Rehum</v>
          </cell>
          <cell r="L101" t="str">
            <v>006N</v>
          </cell>
        </row>
        <row r="102">
          <cell r="A102">
            <v>300</v>
          </cell>
          <cell r="B102" t="str">
            <v>Sanchez Rubio Uriel</v>
          </cell>
          <cell r="C102">
            <v>186639</v>
          </cell>
          <cell r="D102" t="str">
            <v>E.T.B</v>
          </cell>
          <cell r="E102">
            <v>38814</v>
          </cell>
          <cell r="F102" t="str">
            <v>Sup Gonzalez</v>
          </cell>
          <cell r="G102" t="str">
            <v>Incumpl Consignas</v>
          </cell>
          <cell r="H102">
            <v>38824</v>
          </cell>
          <cell r="I102" t="str">
            <v>I</v>
          </cell>
          <cell r="J102" t="str">
            <v>Acta Compromiso</v>
          </cell>
          <cell r="K102" t="str">
            <v>Programac</v>
          </cell>
        </row>
        <row r="103">
          <cell r="A103">
            <v>4</v>
          </cell>
          <cell r="B103" t="str">
            <v>Zabala Lopez Jose</v>
          </cell>
          <cell r="C103">
            <v>123058</v>
          </cell>
          <cell r="D103" t="str">
            <v>Q.Mutis</v>
          </cell>
          <cell r="E103">
            <v>42359</v>
          </cell>
          <cell r="F103" t="str">
            <v>Encar J.C.Bonilla</v>
          </cell>
          <cell r="G103" t="str">
            <v>Incumpl Consignas</v>
          </cell>
          <cell r="H103">
            <v>38754</v>
          </cell>
          <cell r="I103" t="str">
            <v>I</v>
          </cell>
          <cell r="J103" t="str">
            <v>Acta Compromiso</v>
          </cell>
          <cell r="K103" t="str">
            <v>Rehum</v>
          </cell>
          <cell r="L103" t="str">
            <v>005N</v>
          </cell>
        </row>
        <row r="104">
          <cell r="A104">
            <v>38</v>
          </cell>
          <cell r="B104" t="str">
            <v>Beltran Saiz Jose</v>
          </cell>
          <cell r="C104">
            <v>25632</v>
          </cell>
          <cell r="D104" t="str">
            <v>Fonvig</v>
          </cell>
          <cell r="E104">
            <v>38750</v>
          </cell>
          <cell r="F104" t="str">
            <v>Sup Buitrago</v>
          </cell>
          <cell r="G104" t="str">
            <v>No elaborar evaluaci</v>
          </cell>
          <cell r="H104">
            <v>38763</v>
          </cell>
          <cell r="I104" t="str">
            <v>I</v>
          </cell>
          <cell r="J104" t="str">
            <v>Elaborar la evaluac</v>
          </cell>
          <cell r="K104" t="str">
            <v>Rehum</v>
          </cell>
          <cell r="L104" t="str">
            <v>005N</v>
          </cell>
        </row>
        <row r="105">
          <cell r="A105">
            <v>13</v>
          </cell>
          <cell r="B105" t="str">
            <v>Suarez Ramirez Jho</v>
          </cell>
          <cell r="C105">
            <v>123449</v>
          </cell>
          <cell r="D105" t="str">
            <v>C.M.</v>
          </cell>
          <cell r="E105">
            <v>38752</v>
          </cell>
          <cell r="F105" t="str">
            <v>Sup Ardila</v>
          </cell>
          <cell r="G105" t="str">
            <v>perdidas</v>
          </cell>
          <cell r="H105">
            <v>38756</v>
          </cell>
          <cell r="I105" t="str">
            <v>I</v>
          </cell>
          <cell r="J105" t="str">
            <v>Carta descuento</v>
          </cell>
          <cell r="K105" t="str">
            <v>Contabilid</v>
          </cell>
          <cell r="L105" t="str">
            <v>Omitido</v>
          </cell>
        </row>
        <row r="106">
          <cell r="A106">
            <v>25</v>
          </cell>
          <cell r="B106" t="str">
            <v>Escobar Quitian Carls</v>
          </cell>
          <cell r="C106">
            <v>25422</v>
          </cell>
          <cell r="D106" t="str">
            <v>E.T.B</v>
          </cell>
          <cell r="E106">
            <v>38761</v>
          </cell>
          <cell r="F106" t="str">
            <v>Coor H. Sanchez</v>
          </cell>
          <cell r="G106" t="str">
            <v>perdidas</v>
          </cell>
          <cell r="H106">
            <v>38761</v>
          </cell>
          <cell r="I106" t="str">
            <v>I</v>
          </cell>
          <cell r="J106" t="str">
            <v>Traslado</v>
          </cell>
          <cell r="K106" t="str">
            <v>Programac</v>
          </cell>
          <cell r="L106" t="str">
            <v>Omitido</v>
          </cell>
        </row>
        <row r="107">
          <cell r="A107">
            <v>1</v>
          </cell>
          <cell r="B107" t="str">
            <v>Bauitista Rubio Jorg</v>
          </cell>
          <cell r="C107">
            <v>25897</v>
          </cell>
          <cell r="D107" t="str">
            <v>C.M.</v>
          </cell>
          <cell r="E107">
            <v>38752</v>
          </cell>
          <cell r="F107" t="str">
            <v>Sup Guevara</v>
          </cell>
          <cell r="G107" t="str">
            <v>Radio tv en puesto</v>
          </cell>
          <cell r="H107">
            <v>38754</v>
          </cell>
          <cell r="I107" t="str">
            <v>I</v>
          </cell>
          <cell r="J107" t="str">
            <v>Acta Compromiso</v>
          </cell>
          <cell r="K107" t="str">
            <v>Rehum</v>
          </cell>
          <cell r="L107" t="str">
            <v>005N</v>
          </cell>
        </row>
        <row r="108">
          <cell r="A108">
            <v>10</v>
          </cell>
          <cell r="B108" t="str">
            <v>Mesa Ramos Yidio</v>
          </cell>
          <cell r="C108">
            <v>186598</v>
          </cell>
          <cell r="D108" t="str">
            <v>C.M.</v>
          </cell>
          <cell r="E108">
            <v>38752</v>
          </cell>
          <cell r="F108" t="str">
            <v>Sup Ardila</v>
          </cell>
          <cell r="G108" t="str">
            <v>Radio tv en puesto</v>
          </cell>
          <cell r="H108">
            <v>38756</v>
          </cell>
          <cell r="I108" t="str">
            <v>I</v>
          </cell>
          <cell r="J108" t="str">
            <v>Acta Compromiso</v>
          </cell>
          <cell r="K108" t="str">
            <v>Rehum</v>
          </cell>
          <cell r="L108" t="str">
            <v>005N</v>
          </cell>
        </row>
        <row r="109">
          <cell r="A109">
            <v>20</v>
          </cell>
          <cell r="B109" t="str">
            <v>Villacorta Orlando</v>
          </cell>
          <cell r="C109">
            <v>25809</v>
          </cell>
          <cell r="D109" t="str">
            <v>C.M.</v>
          </cell>
          <cell r="E109">
            <v>38752</v>
          </cell>
          <cell r="F109" t="str">
            <v>Sup Guevara</v>
          </cell>
          <cell r="G109" t="str">
            <v>Radio tv en puesto</v>
          </cell>
          <cell r="H109">
            <v>38757</v>
          </cell>
          <cell r="I109" t="str">
            <v>I</v>
          </cell>
          <cell r="J109" t="str">
            <v>Acta Compromiso</v>
          </cell>
          <cell r="K109" t="str">
            <v>Rehum</v>
          </cell>
          <cell r="L109" t="str">
            <v>005N</v>
          </cell>
        </row>
        <row r="110">
          <cell r="A110">
            <v>27</v>
          </cell>
          <cell r="B110" t="str">
            <v>Villalba Cardenas de</v>
          </cell>
          <cell r="C110">
            <v>25956</v>
          </cell>
          <cell r="D110" t="str">
            <v>C.M.</v>
          </cell>
          <cell r="E110">
            <v>38753</v>
          </cell>
          <cell r="F110" t="str">
            <v>Sup Guevara</v>
          </cell>
          <cell r="G110" t="str">
            <v>Radio tv en puesto</v>
          </cell>
          <cell r="H110">
            <v>38763</v>
          </cell>
          <cell r="I110" t="str">
            <v>I</v>
          </cell>
          <cell r="J110" t="str">
            <v>Acta Compromiso</v>
          </cell>
          <cell r="K110" t="str">
            <v>Rehum</v>
          </cell>
          <cell r="L110" t="str">
            <v>005N</v>
          </cell>
        </row>
        <row r="111">
          <cell r="A111">
            <v>84</v>
          </cell>
          <cell r="B111" t="str">
            <v>Giraldo Peralta</v>
          </cell>
          <cell r="C111">
            <v>123437</v>
          </cell>
          <cell r="D111" t="str">
            <v>E.T.B</v>
          </cell>
          <cell r="E111">
            <v>38766</v>
          </cell>
          <cell r="F111" t="str">
            <v>M. Daza Contrl</v>
          </cell>
          <cell r="G111" t="str">
            <v>Relevado servicio</v>
          </cell>
          <cell r="H111">
            <v>38768</v>
          </cell>
          <cell r="I111" t="str">
            <v>I</v>
          </cell>
          <cell r="J111" t="str">
            <v>Acta Compromiso</v>
          </cell>
          <cell r="K111" t="str">
            <v>Rehum</v>
          </cell>
          <cell r="L111" t="str">
            <v>005N</v>
          </cell>
        </row>
        <row r="112">
          <cell r="A112">
            <v>52</v>
          </cell>
          <cell r="B112" t="str">
            <v>Giraldo Peralta</v>
          </cell>
          <cell r="C112">
            <v>123437</v>
          </cell>
          <cell r="D112" t="str">
            <v>E.T.B</v>
          </cell>
          <cell r="E112">
            <v>38766</v>
          </cell>
          <cell r="F112" t="str">
            <v>H.Arevalo Contrl</v>
          </cell>
          <cell r="G112" t="str">
            <v>Relevado servicio</v>
          </cell>
          <cell r="H112">
            <v>38768</v>
          </cell>
          <cell r="I112" t="str">
            <v>I</v>
          </cell>
          <cell r="J112" t="str">
            <v>Traslado puesto</v>
          </cell>
          <cell r="K112" t="str">
            <v>Programac</v>
          </cell>
          <cell r="L112" t="str">
            <v>005N</v>
          </cell>
        </row>
        <row r="113">
          <cell r="A113">
            <v>40</v>
          </cell>
          <cell r="B113" t="str">
            <v>Graciano Jose</v>
          </cell>
          <cell r="C113">
            <v>25632</v>
          </cell>
          <cell r="D113" t="str">
            <v>Banestad</v>
          </cell>
          <cell r="E113">
            <v>38739</v>
          </cell>
          <cell r="F113" t="str">
            <v>Sup Rios</v>
          </cell>
          <cell r="G113" t="str">
            <v>Retardo a recibir</v>
          </cell>
          <cell r="H113">
            <v>38739</v>
          </cell>
          <cell r="I113" t="str">
            <v>I</v>
          </cell>
          <cell r="J113" t="str">
            <v>Acta Compromiso</v>
          </cell>
          <cell r="K113" t="str">
            <v>Rehum</v>
          </cell>
        </row>
        <row r="114">
          <cell r="A114">
            <v>62</v>
          </cell>
          <cell r="B114" t="str">
            <v>Arango Castro</v>
          </cell>
          <cell r="C114">
            <v>186597</v>
          </cell>
          <cell r="D114" t="str">
            <v>Banestad</v>
          </cell>
          <cell r="E114">
            <v>38741</v>
          </cell>
          <cell r="F114" t="str">
            <v>H.Arevalo Contrl</v>
          </cell>
          <cell r="G114" t="str">
            <v>Retardo a recibir</v>
          </cell>
          <cell r="H114">
            <v>38756</v>
          </cell>
          <cell r="I114" t="str">
            <v>I</v>
          </cell>
          <cell r="J114" t="str">
            <v>Acta Compromiso</v>
          </cell>
          <cell r="K114" t="str">
            <v>Rehum</v>
          </cell>
          <cell r="L114" t="str">
            <v>005N</v>
          </cell>
        </row>
        <row r="115">
          <cell r="A115">
            <v>28</v>
          </cell>
          <cell r="B115" t="str">
            <v>Castellanos Alirio</v>
          </cell>
          <cell r="C115">
            <v>123444</v>
          </cell>
          <cell r="D115" t="str">
            <v>C. Dorad</v>
          </cell>
          <cell r="E115">
            <v>38751</v>
          </cell>
          <cell r="F115" t="str">
            <v>Sup Fernandez</v>
          </cell>
          <cell r="G115" t="str">
            <v>Retardo a recibir</v>
          </cell>
          <cell r="H115">
            <v>38763</v>
          </cell>
          <cell r="I115" t="str">
            <v>I</v>
          </cell>
          <cell r="J115" t="str">
            <v>Acta Compromiso</v>
          </cell>
          <cell r="K115" t="str">
            <v>Rehum</v>
          </cell>
          <cell r="L115" t="str">
            <v>005N</v>
          </cell>
        </row>
        <row r="116">
          <cell r="A116">
            <v>30</v>
          </cell>
          <cell r="B116" t="str">
            <v>Wilches Rodriguez</v>
          </cell>
          <cell r="C116">
            <v>25903</v>
          </cell>
          <cell r="D116" t="str">
            <v>E.T.B</v>
          </cell>
          <cell r="E116">
            <v>38751</v>
          </cell>
          <cell r="F116" t="str">
            <v>Sup Gonzalez</v>
          </cell>
          <cell r="G116" t="str">
            <v>Retardo a recibir</v>
          </cell>
          <cell r="H116">
            <v>38763</v>
          </cell>
          <cell r="I116" t="str">
            <v>I</v>
          </cell>
          <cell r="J116" t="str">
            <v>Acta Compromiso</v>
          </cell>
          <cell r="K116" t="str">
            <v>Rehum</v>
          </cell>
          <cell r="L116" t="str">
            <v>005N</v>
          </cell>
        </row>
        <row r="117">
          <cell r="A117">
            <v>44</v>
          </cell>
          <cell r="B117" t="str">
            <v>Castellanos Gutierrez</v>
          </cell>
          <cell r="C117">
            <v>26149</v>
          </cell>
          <cell r="D117" t="str">
            <v>C. Dorad</v>
          </cell>
          <cell r="E117">
            <v>38763</v>
          </cell>
          <cell r="F117" t="str">
            <v>H.Arevalo Contrl</v>
          </cell>
          <cell r="G117" t="str">
            <v>Retardo a recibir</v>
          </cell>
          <cell r="H117">
            <v>38764</v>
          </cell>
          <cell r="I117" t="str">
            <v>I</v>
          </cell>
          <cell r="J117" t="str">
            <v>Acta Compromiso</v>
          </cell>
          <cell r="K117" t="str">
            <v>Rehum</v>
          </cell>
          <cell r="L117" t="str">
            <v>005N</v>
          </cell>
        </row>
        <row r="118">
          <cell r="A118">
            <v>162</v>
          </cell>
          <cell r="B118" t="str">
            <v>Tique Tique Nilson</v>
          </cell>
          <cell r="C118">
            <v>123070</v>
          </cell>
          <cell r="D118" t="str">
            <v>E.T.B</v>
          </cell>
          <cell r="E118">
            <v>38785</v>
          </cell>
          <cell r="F118" t="str">
            <v>Vig. Lugo</v>
          </cell>
          <cell r="G118" t="str">
            <v>Retardo a recibir</v>
          </cell>
          <cell r="H118">
            <v>38789</v>
          </cell>
          <cell r="I118" t="str">
            <v>I</v>
          </cell>
          <cell r="J118" t="str">
            <v>Acta Compromiso</v>
          </cell>
          <cell r="K118" t="str">
            <v>Rehum</v>
          </cell>
          <cell r="L118" t="str">
            <v>007N</v>
          </cell>
        </row>
        <row r="119">
          <cell r="A119">
            <v>211</v>
          </cell>
          <cell r="B119" t="str">
            <v>Avendaño Villa Edissn</v>
          </cell>
          <cell r="C119">
            <v>25597</v>
          </cell>
          <cell r="D119" t="str">
            <v>E.T.B</v>
          </cell>
          <cell r="E119">
            <v>38788</v>
          </cell>
          <cell r="F119" t="str">
            <v>M. Munevar Cont</v>
          </cell>
          <cell r="G119" t="str">
            <v>Retardo a recibir</v>
          </cell>
          <cell r="H119">
            <v>38793</v>
          </cell>
          <cell r="I119" t="str">
            <v>I</v>
          </cell>
          <cell r="J119" t="str">
            <v>Acta Compromiso</v>
          </cell>
          <cell r="K119" t="str">
            <v>Rehum</v>
          </cell>
          <cell r="L119" t="str">
            <v>007N</v>
          </cell>
        </row>
        <row r="120">
          <cell r="A120">
            <v>225</v>
          </cell>
          <cell r="B120" t="str">
            <v>Pulido Nohora</v>
          </cell>
          <cell r="C120">
            <v>123205</v>
          </cell>
          <cell r="D120" t="str">
            <v>E.T.B</v>
          </cell>
          <cell r="E120">
            <v>38788</v>
          </cell>
          <cell r="F120" t="str">
            <v>M. Munevar Cont</v>
          </cell>
          <cell r="G120" t="str">
            <v>Retardo a recibir</v>
          </cell>
          <cell r="H120">
            <v>38805</v>
          </cell>
          <cell r="I120" t="str">
            <v>I</v>
          </cell>
          <cell r="J120" t="str">
            <v>Acta Compromiso</v>
          </cell>
          <cell r="K120" t="str">
            <v>Rehum</v>
          </cell>
          <cell r="L120" t="str">
            <v>008N</v>
          </cell>
        </row>
        <row r="121">
          <cell r="A121">
            <v>298</v>
          </cell>
          <cell r="B121" t="str">
            <v>Avendaño Villa Edissn</v>
          </cell>
          <cell r="C121">
            <v>25597</v>
          </cell>
          <cell r="D121" t="str">
            <v>E.T.B</v>
          </cell>
          <cell r="E121">
            <v>38788</v>
          </cell>
          <cell r="F121" t="str">
            <v>Sup Menco</v>
          </cell>
          <cell r="G121" t="str">
            <v>Retardo a recibir</v>
          </cell>
          <cell r="H121">
            <v>38819</v>
          </cell>
          <cell r="I121" t="str">
            <v>I</v>
          </cell>
          <cell r="J121" t="str">
            <v>Acta Compromiso</v>
          </cell>
          <cell r="K121" t="str">
            <v>Rehum</v>
          </cell>
        </row>
        <row r="122">
          <cell r="A122">
            <v>190</v>
          </cell>
          <cell r="B122" t="str">
            <v>Vasquez Díaz Jose</v>
          </cell>
          <cell r="C122">
            <v>123137</v>
          </cell>
          <cell r="D122" t="str">
            <v>C.M.</v>
          </cell>
          <cell r="E122">
            <v>38793</v>
          </cell>
          <cell r="F122" t="str">
            <v>H.Arevalo Contrl</v>
          </cell>
          <cell r="G122" t="str">
            <v>Retardo a recibir</v>
          </cell>
          <cell r="H122">
            <v>38794</v>
          </cell>
          <cell r="I122" t="str">
            <v>I</v>
          </cell>
          <cell r="J122" t="str">
            <v>Acta Compromiso</v>
          </cell>
          <cell r="K122" t="str">
            <v>Rehum</v>
          </cell>
          <cell r="L122" t="str">
            <v>007N</v>
          </cell>
        </row>
        <row r="123">
          <cell r="A123">
            <v>235</v>
          </cell>
          <cell r="B123" t="str">
            <v>Rodriguez Luz</v>
          </cell>
          <cell r="C123">
            <v>26144</v>
          </cell>
          <cell r="D123" t="str">
            <v>U Rosar</v>
          </cell>
          <cell r="E123">
            <v>38804</v>
          </cell>
          <cell r="F123" t="str">
            <v>Sup Bonilla J</v>
          </cell>
          <cell r="G123" t="str">
            <v>Retardo a recibir</v>
          </cell>
          <cell r="H123">
            <v>38804</v>
          </cell>
          <cell r="I123" t="str">
            <v>I</v>
          </cell>
          <cell r="J123" t="str">
            <v>Acta Compromiso</v>
          </cell>
          <cell r="K123" t="str">
            <v>Rehum</v>
          </cell>
          <cell r="L123" t="str">
            <v>008N</v>
          </cell>
        </row>
        <row r="124">
          <cell r="A124">
            <v>269</v>
          </cell>
          <cell r="B124" t="str">
            <v>Torres Montes Wilmer</v>
          </cell>
          <cell r="C124">
            <v>186921</v>
          </cell>
          <cell r="D124" t="str">
            <v>Canciller</v>
          </cell>
          <cell r="E124">
            <v>38817</v>
          </cell>
          <cell r="F124" t="str">
            <v>M. Daza Contrl</v>
          </cell>
          <cell r="G124" t="str">
            <v>Retardo a recibir</v>
          </cell>
          <cell r="H124">
            <v>38817</v>
          </cell>
          <cell r="I124" t="str">
            <v>I</v>
          </cell>
          <cell r="J124" t="str">
            <v>Acta Compromiso</v>
          </cell>
          <cell r="K124" t="str">
            <v>Programac</v>
          </cell>
        </row>
        <row r="125">
          <cell r="A125">
            <v>37</v>
          </cell>
          <cell r="B125" t="str">
            <v>Acuña Avila Pedro</v>
          </cell>
          <cell r="C125">
            <v>25503</v>
          </cell>
          <cell r="D125" t="str">
            <v>E.T.B</v>
          </cell>
          <cell r="E125">
            <v>38750</v>
          </cell>
          <cell r="F125" t="str">
            <v>M. Munevar Cont</v>
          </cell>
          <cell r="G125" t="str">
            <v>Retardo a recibir</v>
          </cell>
          <cell r="H125">
            <v>38763</v>
          </cell>
          <cell r="I125" t="str">
            <v>I</v>
          </cell>
          <cell r="J125" t="str">
            <v>Descargos</v>
          </cell>
          <cell r="K125" t="str">
            <v>Rehum</v>
          </cell>
        </row>
        <row r="126">
          <cell r="A126">
            <v>15</v>
          </cell>
          <cell r="B126" t="str">
            <v>Lopez Carlos Alirio</v>
          </cell>
          <cell r="C126">
            <v>123193</v>
          </cell>
          <cell r="D126" t="str">
            <v>E.T.B</v>
          </cell>
          <cell r="E126">
            <v>38751</v>
          </cell>
          <cell r="F126" t="str">
            <v>H.Arevalo Contrl</v>
          </cell>
          <cell r="G126" t="str">
            <v>Retardo a recibir</v>
          </cell>
          <cell r="H126">
            <v>38756</v>
          </cell>
          <cell r="I126" t="str">
            <v>I</v>
          </cell>
          <cell r="J126" t="str">
            <v>Descargos</v>
          </cell>
          <cell r="K126" t="str">
            <v>Rehum</v>
          </cell>
        </row>
        <row r="127">
          <cell r="A127">
            <v>16</v>
          </cell>
          <cell r="B127" t="str">
            <v>Lopez Carlos Alirio</v>
          </cell>
          <cell r="C127">
            <v>123193</v>
          </cell>
          <cell r="D127" t="str">
            <v>E.T.B</v>
          </cell>
          <cell r="E127">
            <v>38756</v>
          </cell>
          <cell r="F127" t="str">
            <v>H.Arevalo Contrl</v>
          </cell>
          <cell r="G127" t="str">
            <v>Retardo a recibir</v>
          </cell>
          <cell r="H127">
            <v>38756</v>
          </cell>
          <cell r="I127" t="str">
            <v>I</v>
          </cell>
          <cell r="J127" t="str">
            <v>Descargos</v>
          </cell>
          <cell r="K127" t="str">
            <v>Rehum</v>
          </cell>
        </row>
        <row r="128">
          <cell r="A128">
            <v>186</v>
          </cell>
          <cell r="B128" t="str">
            <v>Mendoza Raudales J</v>
          </cell>
          <cell r="D128" t="str">
            <v>U Rosar</v>
          </cell>
          <cell r="E128">
            <v>38791</v>
          </cell>
          <cell r="F128" t="str">
            <v>Sup Ortiz</v>
          </cell>
          <cell r="G128" t="str">
            <v>Retardo a recibir</v>
          </cell>
          <cell r="H128">
            <v>38792</v>
          </cell>
          <cell r="I128" t="str">
            <v>I</v>
          </cell>
          <cell r="J128" t="str">
            <v>Descargos</v>
          </cell>
          <cell r="K128" t="str">
            <v>Rehum</v>
          </cell>
          <cell r="L128">
            <v>126</v>
          </cell>
        </row>
        <row r="129">
          <cell r="A129">
            <v>187</v>
          </cell>
          <cell r="B129" t="str">
            <v>Zabala Jose</v>
          </cell>
          <cell r="C129">
            <v>123058</v>
          </cell>
          <cell r="D129" t="str">
            <v>U Rosar</v>
          </cell>
          <cell r="E129">
            <v>38791</v>
          </cell>
          <cell r="F129" t="str">
            <v>Sup Ortiz</v>
          </cell>
          <cell r="G129" t="str">
            <v>Retardo a recibir</v>
          </cell>
          <cell r="H129">
            <v>38792</v>
          </cell>
          <cell r="I129" t="str">
            <v>I</v>
          </cell>
          <cell r="J129" t="str">
            <v>Descargos</v>
          </cell>
          <cell r="K129" t="str">
            <v>Rehum</v>
          </cell>
          <cell r="L129">
            <v>126</v>
          </cell>
        </row>
        <row r="130">
          <cell r="A130">
            <v>188</v>
          </cell>
          <cell r="B130" t="str">
            <v>Cobaleda Yonatan</v>
          </cell>
          <cell r="C130">
            <v>123269</v>
          </cell>
          <cell r="D130" t="str">
            <v>U Rosar</v>
          </cell>
          <cell r="E130">
            <v>38791</v>
          </cell>
          <cell r="F130" t="str">
            <v>Sup Ortiz</v>
          </cell>
          <cell r="G130" t="str">
            <v>Retardo a recibir</v>
          </cell>
          <cell r="H130">
            <v>38792</v>
          </cell>
          <cell r="I130" t="str">
            <v>I</v>
          </cell>
          <cell r="J130" t="str">
            <v>Descargos</v>
          </cell>
          <cell r="K130" t="str">
            <v>Rehum</v>
          </cell>
          <cell r="L130">
            <v>126</v>
          </cell>
        </row>
        <row r="131">
          <cell r="A131">
            <v>246</v>
          </cell>
          <cell r="B131" t="str">
            <v>Lugo Jose J</v>
          </cell>
          <cell r="C131">
            <v>25846</v>
          </cell>
          <cell r="D131" t="str">
            <v>E.T.B</v>
          </cell>
          <cell r="E131">
            <v>38810</v>
          </cell>
          <cell r="F131" t="str">
            <v>Vg Tique Nilson</v>
          </cell>
          <cell r="G131" t="str">
            <v>Retardo a recibir</v>
          </cell>
          <cell r="H131">
            <v>38812</v>
          </cell>
          <cell r="I131" t="str">
            <v>I</v>
          </cell>
          <cell r="J131" t="str">
            <v>Descargos</v>
          </cell>
          <cell r="K131" t="str">
            <v>Programac</v>
          </cell>
        </row>
        <row r="132">
          <cell r="A132">
            <v>260</v>
          </cell>
          <cell r="B132" t="str">
            <v>Lugo Jose J</v>
          </cell>
          <cell r="C132">
            <v>25846</v>
          </cell>
          <cell r="D132" t="str">
            <v>E.T.B</v>
          </cell>
          <cell r="E132">
            <v>38814</v>
          </cell>
          <cell r="F132" t="str">
            <v>Vig Nilsol Tique</v>
          </cell>
          <cell r="G132" t="str">
            <v>Retardo a recibir</v>
          </cell>
          <cell r="H132">
            <v>38815</v>
          </cell>
          <cell r="I132" t="str">
            <v>I</v>
          </cell>
          <cell r="J132" t="str">
            <v>Descargos</v>
          </cell>
          <cell r="K132" t="str">
            <v>Programac</v>
          </cell>
        </row>
        <row r="133">
          <cell r="A133">
            <v>294</v>
          </cell>
          <cell r="B133" t="str">
            <v>Ramirez Acevedo Ediss</v>
          </cell>
          <cell r="C133">
            <v>186813</v>
          </cell>
          <cell r="D133" t="str">
            <v>E.T.B</v>
          </cell>
          <cell r="E133">
            <v>38804</v>
          </cell>
          <cell r="F133" t="str">
            <v>H.Arevalo Contrl</v>
          </cell>
          <cell r="G133" t="str">
            <v>Retardo a recibir</v>
          </cell>
          <cell r="H133">
            <v>38812</v>
          </cell>
          <cell r="I133" t="str">
            <v>I</v>
          </cell>
          <cell r="J133" t="str">
            <v>Llamado atención</v>
          </cell>
          <cell r="K133" t="str">
            <v>Rehum</v>
          </cell>
          <cell r="L133" t="str">
            <v>009N</v>
          </cell>
        </row>
        <row r="134">
          <cell r="A134">
            <v>6</v>
          </cell>
          <cell r="B134" t="str">
            <v>Zabala Lopez Jose</v>
          </cell>
          <cell r="C134">
            <v>123058</v>
          </cell>
          <cell r="D134" t="str">
            <v>Q.Mutis</v>
          </cell>
          <cell r="E134">
            <v>38740</v>
          </cell>
          <cell r="F134" t="str">
            <v>Encar J.C.Bonilla</v>
          </cell>
          <cell r="G134" t="str">
            <v>Retardo a recibir</v>
          </cell>
          <cell r="H134">
            <v>38754</v>
          </cell>
          <cell r="I134" t="str">
            <v>I</v>
          </cell>
          <cell r="J134" t="str">
            <v>permiso</v>
          </cell>
          <cell r="K134" t="str">
            <v>Rehum</v>
          </cell>
          <cell r="L134" t="str">
            <v>005N</v>
          </cell>
        </row>
        <row r="135">
          <cell r="A135">
            <v>43</v>
          </cell>
          <cell r="B135" t="str">
            <v>Rodriguez Ibague A</v>
          </cell>
          <cell r="C135">
            <v>123272</v>
          </cell>
          <cell r="D135" t="str">
            <v>E.T.B</v>
          </cell>
          <cell r="E135">
            <v>38760</v>
          </cell>
          <cell r="F135" t="str">
            <v>M. Daza Contrl</v>
          </cell>
          <cell r="G135" t="str">
            <v>Retardo a recibir</v>
          </cell>
          <cell r="H135">
            <v>38764</v>
          </cell>
          <cell r="I135" t="str">
            <v>I</v>
          </cell>
          <cell r="J135" t="str">
            <v>permiso</v>
          </cell>
          <cell r="K135" t="str">
            <v>Rehum</v>
          </cell>
          <cell r="L135" t="str">
            <v>005N</v>
          </cell>
        </row>
        <row r="136">
          <cell r="A136">
            <v>140</v>
          </cell>
          <cell r="B136" t="str">
            <v>Diaz Chiscos Euclides</v>
          </cell>
          <cell r="E136">
            <v>38778</v>
          </cell>
          <cell r="F136" t="str">
            <v>M. Daza Contrl</v>
          </cell>
          <cell r="G136" t="str">
            <v>Retardo a recibir</v>
          </cell>
          <cell r="H136">
            <v>38785</v>
          </cell>
          <cell r="I136" t="str">
            <v>I</v>
          </cell>
          <cell r="J136" t="str">
            <v>permiso</v>
          </cell>
          <cell r="K136" t="str">
            <v>Rehum</v>
          </cell>
          <cell r="L136" t="str">
            <v>006N</v>
          </cell>
        </row>
        <row r="137">
          <cell r="A137">
            <v>139</v>
          </cell>
          <cell r="B137" t="str">
            <v>Parra Gomez juan</v>
          </cell>
          <cell r="C137">
            <v>123301</v>
          </cell>
          <cell r="D137" t="str">
            <v>E.T.B</v>
          </cell>
          <cell r="E137">
            <v>38780</v>
          </cell>
          <cell r="F137" t="str">
            <v>H.Arevalo Contrl</v>
          </cell>
          <cell r="G137" t="str">
            <v>Retardo a recibir</v>
          </cell>
          <cell r="H137">
            <v>38785</v>
          </cell>
          <cell r="I137" t="str">
            <v>I</v>
          </cell>
          <cell r="J137" t="str">
            <v>permiso</v>
          </cell>
          <cell r="K137" t="str">
            <v>Rehum</v>
          </cell>
          <cell r="L137" t="str">
            <v>006N</v>
          </cell>
        </row>
        <row r="138">
          <cell r="A138">
            <v>105</v>
          </cell>
          <cell r="B138" t="str">
            <v>Pachon Bello Luis</v>
          </cell>
          <cell r="C138">
            <v>26104</v>
          </cell>
          <cell r="D138" t="str">
            <v>E.T.B</v>
          </cell>
          <cell r="E138">
            <v>38751</v>
          </cell>
          <cell r="F138" t="str">
            <v>Coor N.Cifuentes</v>
          </cell>
          <cell r="G138" t="str">
            <v>Solicitan cambio</v>
          </cell>
          <cell r="H138">
            <v>38754</v>
          </cell>
          <cell r="I138" t="str">
            <v>I</v>
          </cell>
          <cell r="J138" t="str">
            <v>Acta Compromiso</v>
          </cell>
          <cell r="K138" t="str">
            <v>Rehum</v>
          </cell>
          <cell r="L138" t="str">
            <v>005N</v>
          </cell>
        </row>
        <row r="139">
          <cell r="A139">
            <v>51</v>
          </cell>
          <cell r="B139" t="str">
            <v>Hernandez Consuegra</v>
          </cell>
          <cell r="C139">
            <v>186571</v>
          </cell>
          <cell r="D139" t="str">
            <v>C.M.</v>
          </cell>
          <cell r="E139">
            <v>38764</v>
          </cell>
          <cell r="F139" t="str">
            <v>Coor Doku</v>
          </cell>
          <cell r="G139" t="str">
            <v>Solicitan cambio</v>
          </cell>
          <cell r="H139">
            <v>38768</v>
          </cell>
          <cell r="I139" t="str">
            <v>I</v>
          </cell>
          <cell r="J139" t="str">
            <v>Carta renuncia</v>
          </cell>
          <cell r="K139" t="str">
            <v>Rehum</v>
          </cell>
          <cell r="L139" t="str">
            <v>Omitido</v>
          </cell>
        </row>
        <row r="140">
          <cell r="A140">
            <v>54</v>
          </cell>
          <cell r="B140" t="str">
            <v>Ardila Becerra</v>
          </cell>
          <cell r="C140">
            <v>25919</v>
          </cell>
          <cell r="D140" t="str">
            <v>I.T.la S</v>
          </cell>
          <cell r="E140">
            <v>38765</v>
          </cell>
          <cell r="F140" t="str">
            <v>Coor M. Moralez</v>
          </cell>
          <cell r="G140" t="str">
            <v>Solicitan cambio</v>
          </cell>
          <cell r="H140">
            <v>38771</v>
          </cell>
          <cell r="I140" t="str">
            <v>I</v>
          </cell>
          <cell r="J140" t="str">
            <v>Carta renuncia</v>
          </cell>
          <cell r="K140" t="str">
            <v>Rehum</v>
          </cell>
          <cell r="L140" t="str">
            <v>Omitido</v>
          </cell>
        </row>
        <row r="141">
          <cell r="A141">
            <v>56</v>
          </cell>
          <cell r="B141" t="str">
            <v>Rodriguez Mogollon</v>
          </cell>
          <cell r="C141">
            <v>123440</v>
          </cell>
          <cell r="D141" t="str">
            <v>U Rosar</v>
          </cell>
          <cell r="E141">
            <v>38768</v>
          </cell>
          <cell r="F141" t="str">
            <v>Vig Rodriguez M</v>
          </cell>
          <cell r="G141" t="str">
            <v>Solicitan cambio</v>
          </cell>
          <cell r="H141">
            <v>38771</v>
          </cell>
          <cell r="I141" t="str">
            <v>I</v>
          </cell>
          <cell r="J141" t="str">
            <v>Carta renuncia</v>
          </cell>
          <cell r="K141" t="str">
            <v>Programac</v>
          </cell>
          <cell r="L141" t="str">
            <v>005N</v>
          </cell>
        </row>
        <row r="142">
          <cell r="A142">
            <v>29</v>
          </cell>
          <cell r="B142" t="str">
            <v>Sup Fernandez Mora</v>
          </cell>
          <cell r="C142">
            <v>186769</v>
          </cell>
          <cell r="D142" t="str">
            <v>C. Dorad</v>
          </cell>
          <cell r="E142">
            <v>38755</v>
          </cell>
          <cell r="F142" t="str">
            <v>Sup Murillo</v>
          </cell>
          <cell r="G142" t="str">
            <v>Traumatismo al serv</v>
          </cell>
          <cell r="H142">
            <v>38763</v>
          </cell>
          <cell r="I142" t="str">
            <v>I</v>
          </cell>
          <cell r="J142" t="str">
            <v>Acta Compromiso</v>
          </cell>
          <cell r="K142" t="str">
            <v>Rehum</v>
          </cell>
          <cell r="L142" t="str">
            <v>005N</v>
          </cell>
        </row>
        <row r="143">
          <cell r="A143">
            <v>2</v>
          </cell>
          <cell r="B143" t="str">
            <v>Otalora Martinez Lui</v>
          </cell>
          <cell r="C143">
            <v>26105</v>
          </cell>
          <cell r="D143" t="str">
            <v>C.M.</v>
          </cell>
          <cell r="E143">
            <v>38752</v>
          </cell>
          <cell r="F143" t="str">
            <v>Sup Guevara</v>
          </cell>
          <cell r="G143" t="str">
            <v>Radio tv en puesto</v>
          </cell>
          <cell r="H143">
            <v>38754</v>
          </cell>
          <cell r="I143" t="str">
            <v>I</v>
          </cell>
          <cell r="J143" t="str">
            <v>permiso</v>
          </cell>
          <cell r="K143" t="str">
            <v>Rehum</v>
          </cell>
          <cell r="L143" t="str">
            <v>005N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4"/>
  <sheetViews>
    <sheetView showGridLines="0" tabSelected="1" zoomScaleNormal="100" workbookViewId="0">
      <selection activeCell="I21" sqref="I21:J21"/>
    </sheetView>
  </sheetViews>
  <sheetFormatPr baseColWidth="10" defaultRowHeight="13.2"/>
  <cols>
    <col min="1" max="1" width="18" customWidth="1"/>
    <col min="5" max="5" width="4.6640625" customWidth="1"/>
    <col min="8" max="8" width="4.6640625" customWidth="1"/>
  </cols>
  <sheetData>
    <row r="1" spans="2:10" ht="41.25" customHeight="1"/>
    <row r="6" spans="2:10">
      <c r="B6" s="30" t="s">
        <v>78</v>
      </c>
      <c r="C6" s="30"/>
      <c r="D6" s="30"/>
      <c r="E6" s="30"/>
      <c r="F6" s="30"/>
      <c r="G6" s="30"/>
      <c r="H6" s="30"/>
      <c r="I6" s="30"/>
      <c r="J6" s="30"/>
    </row>
    <row r="8" spans="2:10">
      <c r="B8" s="16" t="s">
        <v>79</v>
      </c>
      <c r="C8" s="34" t="s">
        <v>162</v>
      </c>
      <c r="D8" s="34"/>
      <c r="E8" s="34"/>
      <c r="F8" s="34"/>
      <c r="G8" s="34"/>
      <c r="H8" s="34"/>
      <c r="I8" s="34"/>
    </row>
    <row r="9" spans="2:10">
      <c r="B9" s="16"/>
      <c r="C9" s="17"/>
      <c r="D9" s="17"/>
      <c r="E9" s="17"/>
      <c r="F9" s="18"/>
      <c r="G9" s="18"/>
    </row>
    <row r="10" spans="2:10">
      <c r="B10" s="16" t="s">
        <v>89</v>
      </c>
      <c r="C10" s="34" t="s">
        <v>163</v>
      </c>
      <c r="D10" s="34"/>
      <c r="E10" s="34"/>
      <c r="F10" s="18"/>
      <c r="G10" s="28" t="s">
        <v>144</v>
      </c>
      <c r="H10" s="34" t="s">
        <v>164</v>
      </c>
      <c r="I10" s="34"/>
      <c r="J10" s="34"/>
    </row>
    <row r="11" spans="2:10">
      <c r="B11" s="16"/>
      <c r="C11" s="19"/>
      <c r="D11" s="19"/>
      <c r="E11" s="19"/>
      <c r="F11" s="18"/>
      <c r="G11" s="18"/>
    </row>
    <row r="12" spans="2:10">
      <c r="B12" s="33" t="s">
        <v>142</v>
      </c>
      <c r="C12" s="33"/>
      <c r="D12" s="33"/>
      <c r="E12" s="33"/>
      <c r="F12" s="33"/>
      <c r="G12" s="33"/>
      <c r="H12" s="33"/>
      <c r="I12" s="33"/>
      <c r="J12" s="33"/>
    </row>
    <row r="13" spans="2:10">
      <c r="B13" s="31" t="s">
        <v>80</v>
      </c>
      <c r="C13" s="31"/>
      <c r="D13" s="31"/>
      <c r="E13" s="23"/>
      <c r="F13" s="31" t="s">
        <v>81</v>
      </c>
      <c r="G13" s="31"/>
      <c r="I13" s="31" t="s">
        <v>141</v>
      </c>
      <c r="J13" s="31"/>
    </row>
    <row r="14" spans="2:10" ht="24" customHeight="1">
      <c r="B14" s="32" t="s">
        <v>146</v>
      </c>
      <c r="C14" s="32"/>
      <c r="D14" s="32"/>
      <c r="E14" s="19"/>
      <c r="F14" s="32" t="s">
        <v>147</v>
      </c>
      <c r="G14" s="32"/>
      <c r="H14" s="14"/>
      <c r="I14" s="32" t="s">
        <v>148</v>
      </c>
      <c r="J14" s="32"/>
    </row>
    <row r="15" spans="2:10">
      <c r="B15" s="14"/>
      <c r="C15" s="14"/>
      <c r="D15" s="14"/>
      <c r="E15" s="14"/>
    </row>
    <row r="16" spans="2:10">
      <c r="B16" s="33" t="s">
        <v>143</v>
      </c>
      <c r="C16" s="33"/>
      <c r="D16" s="33"/>
      <c r="E16" s="33"/>
      <c r="F16" s="33"/>
      <c r="G16" s="33"/>
      <c r="H16" s="33"/>
      <c r="I16" s="33"/>
      <c r="J16" s="33"/>
    </row>
    <row r="17" spans="2:10">
      <c r="B17" s="14"/>
      <c r="C17" s="14"/>
      <c r="D17" s="14"/>
      <c r="E17" s="14"/>
    </row>
    <row r="18" spans="2:10">
      <c r="B18" s="31" t="s">
        <v>80</v>
      </c>
      <c r="C18" s="31"/>
      <c r="D18" s="31"/>
      <c r="E18" s="15"/>
      <c r="F18" s="31" t="s">
        <v>81</v>
      </c>
      <c r="G18" s="31"/>
      <c r="I18" s="31" t="s">
        <v>141</v>
      </c>
      <c r="J18" s="31"/>
    </row>
    <row r="19" spans="2:10">
      <c r="B19" s="32" t="s">
        <v>165</v>
      </c>
      <c r="C19" s="32"/>
      <c r="D19" s="32"/>
      <c r="E19" s="19"/>
      <c r="F19" s="32" t="s">
        <v>166</v>
      </c>
      <c r="G19" s="32"/>
      <c r="H19" s="14"/>
      <c r="I19" s="32" t="s">
        <v>162</v>
      </c>
      <c r="J19" s="32"/>
    </row>
    <row r="20" spans="2:10">
      <c r="B20" s="32" t="s">
        <v>167</v>
      </c>
      <c r="C20" s="32"/>
      <c r="D20" s="32"/>
      <c r="E20" s="19"/>
      <c r="F20" s="32" t="s">
        <v>159</v>
      </c>
      <c r="G20" s="32"/>
      <c r="H20" s="14"/>
      <c r="I20" s="32" t="s">
        <v>162</v>
      </c>
      <c r="J20" s="32"/>
    </row>
    <row r="21" spans="2:10">
      <c r="B21" s="32" t="s">
        <v>168</v>
      </c>
      <c r="C21" s="32"/>
      <c r="D21" s="32"/>
      <c r="E21" s="19"/>
      <c r="F21" s="32" t="s">
        <v>169</v>
      </c>
      <c r="G21" s="32"/>
      <c r="H21" s="14"/>
      <c r="I21" s="32" t="s">
        <v>162</v>
      </c>
      <c r="J21" s="32"/>
    </row>
    <row r="22" spans="2:10">
      <c r="B22" s="32"/>
      <c r="C22" s="32"/>
      <c r="D22" s="32"/>
      <c r="E22" s="19"/>
      <c r="F22" s="32"/>
      <c r="G22" s="32"/>
      <c r="H22" s="14"/>
      <c r="I22" s="32"/>
      <c r="J22" s="32"/>
    </row>
    <row r="23" spans="2:10">
      <c r="B23" s="32"/>
      <c r="C23" s="32"/>
      <c r="D23" s="32"/>
      <c r="E23" s="19"/>
      <c r="F23" s="32"/>
      <c r="G23" s="32"/>
      <c r="H23" s="14"/>
      <c r="I23" s="32"/>
      <c r="J23" s="32"/>
    </row>
    <row r="24" spans="2:10">
      <c r="B24" s="32"/>
      <c r="C24" s="32"/>
      <c r="D24" s="32"/>
      <c r="E24" s="19"/>
      <c r="F24" s="32"/>
      <c r="G24" s="32"/>
      <c r="H24" s="14"/>
      <c r="I24" s="32"/>
      <c r="J24" s="32"/>
    </row>
  </sheetData>
  <mergeCells count="33">
    <mergeCell ref="B24:D24"/>
    <mergeCell ref="F24:G24"/>
    <mergeCell ref="I24:J24"/>
    <mergeCell ref="F22:G22"/>
    <mergeCell ref="B20:D20"/>
    <mergeCell ref="B21:D21"/>
    <mergeCell ref="I20:J20"/>
    <mergeCell ref="I21:J21"/>
    <mergeCell ref="I22:J22"/>
    <mergeCell ref="B22:D22"/>
    <mergeCell ref="F20:G20"/>
    <mergeCell ref="F21:G21"/>
    <mergeCell ref="B23:D23"/>
    <mergeCell ref="F23:G23"/>
    <mergeCell ref="I23:J23"/>
    <mergeCell ref="B18:D18"/>
    <mergeCell ref="F18:G18"/>
    <mergeCell ref="B19:D19"/>
    <mergeCell ref="B16:J16"/>
    <mergeCell ref="H10:J10"/>
    <mergeCell ref="I18:J18"/>
    <mergeCell ref="I19:J19"/>
    <mergeCell ref="F19:G19"/>
    <mergeCell ref="B6:J6"/>
    <mergeCell ref="B13:D13"/>
    <mergeCell ref="F13:G13"/>
    <mergeCell ref="I13:J13"/>
    <mergeCell ref="B14:D14"/>
    <mergeCell ref="F14:G14"/>
    <mergeCell ref="I14:J14"/>
    <mergeCell ref="B12:J12"/>
    <mergeCell ref="C8:I8"/>
    <mergeCell ref="C10:E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"/>
  <sheetViews>
    <sheetView showGridLines="0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52" sqref="D52"/>
    </sheetView>
  </sheetViews>
  <sheetFormatPr baseColWidth="10" defaultRowHeight="13.2" zeroHeight="1"/>
  <cols>
    <col min="1" max="1" width="5.109375" customWidth="1"/>
    <col min="2" max="2" width="13.88671875" customWidth="1"/>
    <col min="3" max="3" width="10.109375" style="4" customWidth="1"/>
    <col min="4" max="4" width="16.33203125" style="4" customWidth="1"/>
    <col min="5" max="5" width="45.44140625" style="4" customWidth="1"/>
    <col min="6" max="6" width="35.88671875" customWidth="1"/>
    <col min="7" max="7" width="19.33203125" bestFit="1" customWidth="1"/>
    <col min="8" max="8" width="11.44140625" style="2"/>
    <col min="9" max="9" width="48.5546875" customWidth="1"/>
  </cols>
  <sheetData>
    <row r="1" spans="1:9" ht="14.4">
      <c r="E1" s="3"/>
    </row>
    <row r="2" spans="1:9"/>
    <row r="3" spans="1:9" ht="26.25" customHeight="1" thickBot="1">
      <c r="E3" s="35" t="s">
        <v>13</v>
      </c>
      <c r="F3" s="35"/>
      <c r="G3" s="35"/>
    </row>
    <row r="4" spans="1:9" s="2" customFormat="1" ht="52.8">
      <c r="B4" s="7" t="s">
        <v>38</v>
      </c>
      <c r="C4" s="7" t="s">
        <v>26</v>
      </c>
      <c r="D4" s="7" t="s">
        <v>57</v>
      </c>
      <c r="E4" s="7" t="s">
        <v>26</v>
      </c>
      <c r="F4" s="8" t="s">
        <v>0</v>
      </c>
      <c r="G4" s="9" t="s">
        <v>5</v>
      </c>
      <c r="H4" s="9" t="s">
        <v>12</v>
      </c>
      <c r="I4" s="8" t="s">
        <v>145</v>
      </c>
    </row>
    <row r="5" spans="1:9" s="1" customFormat="1" ht="69.900000000000006" customHeight="1">
      <c r="A5" s="10">
        <v>1</v>
      </c>
      <c r="B5" s="10" t="s">
        <v>6</v>
      </c>
      <c r="C5" s="11" t="s">
        <v>58</v>
      </c>
      <c r="D5" s="11" t="s">
        <v>58</v>
      </c>
      <c r="E5" s="29" t="s">
        <v>14</v>
      </c>
      <c r="F5" s="20" t="s">
        <v>170</v>
      </c>
      <c r="G5" s="21" t="s">
        <v>28</v>
      </c>
      <c r="H5" s="12">
        <f t="shared" ref="H5:H54" si="0">IF(G5="COMPLETA",1,IF(G5="AVANZADO",0.75,IF(G5="INTERMEDIO",0.5,IF(G5="BÁSICO",0.25,0))))</f>
        <v>0</v>
      </c>
      <c r="I5" s="20" t="s">
        <v>192</v>
      </c>
    </row>
    <row r="6" spans="1:9" s="1" customFormat="1" ht="69.900000000000006" customHeight="1">
      <c r="A6" s="10">
        <v>2</v>
      </c>
      <c r="B6" s="10" t="s">
        <v>6</v>
      </c>
      <c r="C6" s="11" t="s">
        <v>39</v>
      </c>
      <c r="D6" s="11" t="s">
        <v>58</v>
      </c>
      <c r="E6" s="29" t="s">
        <v>29</v>
      </c>
      <c r="F6" s="20" t="s">
        <v>171</v>
      </c>
      <c r="G6" s="21" t="s">
        <v>28</v>
      </c>
      <c r="H6" s="12">
        <f t="shared" si="0"/>
        <v>0</v>
      </c>
      <c r="I6" s="20" t="s">
        <v>193</v>
      </c>
    </row>
    <row r="7" spans="1:9" s="1" customFormat="1" ht="69.900000000000006" customHeight="1">
      <c r="A7" s="10">
        <v>3</v>
      </c>
      <c r="B7" s="10" t="s">
        <v>6</v>
      </c>
      <c r="C7" s="11" t="s">
        <v>11</v>
      </c>
      <c r="D7" s="11" t="s">
        <v>11</v>
      </c>
      <c r="E7" s="29" t="s">
        <v>30</v>
      </c>
      <c r="F7" s="20" t="s">
        <v>227</v>
      </c>
      <c r="G7" s="21" t="s">
        <v>28</v>
      </c>
      <c r="H7" s="12">
        <f t="shared" ref="H7" si="1">IF(G7="COMPLETA",1,IF(G7="AVANZADO",0.75,IF(G7="INTERMEDIO",0.5,IF(G7="BÁSICO",0.25,0))))</f>
        <v>0</v>
      </c>
      <c r="I7" s="20" t="s">
        <v>194</v>
      </c>
    </row>
    <row r="8" spans="1:9" s="1" customFormat="1" ht="69.900000000000006" customHeight="1">
      <c r="A8" s="10">
        <v>4</v>
      </c>
      <c r="B8" s="10" t="s">
        <v>6</v>
      </c>
      <c r="C8" s="11" t="s">
        <v>24</v>
      </c>
      <c r="D8" s="11" t="s">
        <v>58</v>
      </c>
      <c r="E8" s="29" t="s">
        <v>36</v>
      </c>
      <c r="F8" s="20" t="s">
        <v>195</v>
      </c>
      <c r="G8" s="21" t="s">
        <v>28</v>
      </c>
      <c r="H8" s="12">
        <f t="shared" si="0"/>
        <v>0</v>
      </c>
      <c r="I8" s="20" t="s">
        <v>172</v>
      </c>
    </row>
    <row r="9" spans="1:9" s="1" customFormat="1" ht="171" customHeight="1">
      <c r="A9" s="10">
        <v>5</v>
      </c>
      <c r="B9" s="10" t="s">
        <v>6</v>
      </c>
      <c r="C9" s="11" t="s">
        <v>7</v>
      </c>
      <c r="D9" s="11" t="s">
        <v>7</v>
      </c>
      <c r="E9" s="29" t="s">
        <v>228</v>
      </c>
      <c r="F9" s="20" t="s">
        <v>196</v>
      </c>
      <c r="G9" s="21" t="s">
        <v>28</v>
      </c>
      <c r="H9" s="12">
        <f t="shared" si="0"/>
        <v>0</v>
      </c>
      <c r="I9" s="20" t="s">
        <v>197</v>
      </c>
    </row>
    <row r="10" spans="1:9" s="1" customFormat="1" ht="69.900000000000006" customHeight="1">
      <c r="A10" s="10">
        <v>6</v>
      </c>
      <c r="B10" s="10" t="s">
        <v>6</v>
      </c>
      <c r="C10" s="11" t="s">
        <v>10</v>
      </c>
      <c r="D10" s="11" t="s">
        <v>65</v>
      </c>
      <c r="E10" s="29" t="s">
        <v>198</v>
      </c>
      <c r="F10" s="20" t="s">
        <v>229</v>
      </c>
      <c r="G10" s="21" t="s">
        <v>84</v>
      </c>
      <c r="H10" s="12">
        <f t="shared" si="0"/>
        <v>0.25</v>
      </c>
      <c r="I10" s="20" t="s">
        <v>199</v>
      </c>
    </row>
    <row r="11" spans="1:9" s="1" customFormat="1" ht="69.900000000000006" customHeight="1">
      <c r="A11" s="10">
        <v>7</v>
      </c>
      <c r="B11" s="10" t="s">
        <v>49</v>
      </c>
      <c r="C11" s="11" t="s">
        <v>102</v>
      </c>
      <c r="D11" s="11" t="s">
        <v>68</v>
      </c>
      <c r="E11" s="29" t="s">
        <v>90</v>
      </c>
      <c r="F11" s="22" t="s">
        <v>173</v>
      </c>
      <c r="G11" s="21" t="s">
        <v>28</v>
      </c>
      <c r="H11" s="12">
        <f t="shared" si="0"/>
        <v>0</v>
      </c>
      <c r="I11" s="22" t="s">
        <v>200</v>
      </c>
    </row>
    <row r="12" spans="1:9" s="1" customFormat="1" ht="69.900000000000006" customHeight="1">
      <c r="A12" s="10">
        <v>8</v>
      </c>
      <c r="B12" s="10" t="s">
        <v>49</v>
      </c>
      <c r="C12" s="11" t="s">
        <v>69</v>
      </c>
      <c r="D12" s="11" t="s">
        <v>54</v>
      </c>
      <c r="E12" s="29" t="s">
        <v>91</v>
      </c>
      <c r="F12" s="22" t="s">
        <v>230</v>
      </c>
      <c r="G12" s="21" t="s">
        <v>28</v>
      </c>
      <c r="H12" s="12">
        <f t="shared" si="0"/>
        <v>0</v>
      </c>
      <c r="I12" s="22" t="s">
        <v>201</v>
      </c>
    </row>
    <row r="13" spans="1:9" s="1" customFormat="1" ht="69.900000000000006" customHeight="1">
      <c r="A13" s="10">
        <v>9</v>
      </c>
      <c r="B13" s="10" t="s">
        <v>49</v>
      </c>
      <c r="C13" s="11" t="s">
        <v>103</v>
      </c>
      <c r="D13" s="11" t="s">
        <v>54</v>
      </c>
      <c r="E13" s="29" t="s">
        <v>50</v>
      </c>
      <c r="F13" s="22" t="s">
        <v>231</v>
      </c>
      <c r="G13" s="21" t="s">
        <v>84</v>
      </c>
      <c r="H13" s="12">
        <f t="shared" si="0"/>
        <v>0.25</v>
      </c>
      <c r="I13" s="22" t="s">
        <v>202</v>
      </c>
    </row>
    <row r="14" spans="1:9" s="1" customFormat="1" ht="69.900000000000006" customHeight="1">
      <c r="A14" s="10">
        <v>10</v>
      </c>
      <c r="B14" s="10" t="s">
        <v>49</v>
      </c>
      <c r="C14" s="11" t="s">
        <v>104</v>
      </c>
      <c r="D14" s="11" t="s">
        <v>54</v>
      </c>
      <c r="E14" s="29" t="s">
        <v>51</v>
      </c>
      <c r="F14" s="22" t="s">
        <v>149</v>
      </c>
      <c r="G14" s="21" t="s">
        <v>28</v>
      </c>
      <c r="H14" s="12">
        <f t="shared" si="0"/>
        <v>0</v>
      </c>
      <c r="I14" s="22" t="s">
        <v>151</v>
      </c>
    </row>
    <row r="15" spans="1:9" s="1" customFormat="1" ht="69.900000000000006" customHeight="1">
      <c r="A15" s="10">
        <v>11</v>
      </c>
      <c r="B15" s="11" t="s">
        <v>40</v>
      </c>
      <c r="C15" s="11" t="s">
        <v>105</v>
      </c>
      <c r="D15" s="11" t="s">
        <v>58</v>
      </c>
      <c r="E15" s="29" t="s">
        <v>203</v>
      </c>
      <c r="F15" s="20" t="s">
        <v>174</v>
      </c>
      <c r="G15" s="21" t="s">
        <v>28</v>
      </c>
      <c r="H15" s="12">
        <f t="shared" si="0"/>
        <v>0</v>
      </c>
      <c r="I15" s="20" t="s">
        <v>204</v>
      </c>
    </row>
    <row r="16" spans="1:9" s="1" customFormat="1" ht="69.900000000000006" customHeight="1">
      <c r="A16" s="10">
        <v>12</v>
      </c>
      <c r="B16" s="11" t="s">
        <v>40</v>
      </c>
      <c r="C16" s="11" t="s">
        <v>106</v>
      </c>
      <c r="D16" s="11" t="s">
        <v>42</v>
      </c>
      <c r="E16" s="29" t="s">
        <v>94</v>
      </c>
      <c r="F16" s="20" t="s">
        <v>205</v>
      </c>
      <c r="G16" s="21" t="s">
        <v>28</v>
      </c>
      <c r="H16" s="12">
        <f t="shared" si="0"/>
        <v>0</v>
      </c>
      <c r="I16" s="20" t="s">
        <v>206</v>
      </c>
    </row>
    <row r="17" spans="1:9" s="1" customFormat="1" ht="69.900000000000006" customHeight="1">
      <c r="A17" s="10">
        <v>13</v>
      </c>
      <c r="B17" s="11" t="s">
        <v>40</v>
      </c>
      <c r="C17" s="11" t="s">
        <v>107</v>
      </c>
      <c r="D17" s="11" t="s">
        <v>60</v>
      </c>
      <c r="E17" s="29" t="s">
        <v>43</v>
      </c>
      <c r="F17" s="20" t="s">
        <v>207</v>
      </c>
      <c r="G17" s="21" t="s">
        <v>28</v>
      </c>
      <c r="H17" s="12">
        <f t="shared" si="0"/>
        <v>0</v>
      </c>
      <c r="I17" s="20" t="s">
        <v>232</v>
      </c>
    </row>
    <row r="18" spans="1:9" s="1" customFormat="1" ht="69.900000000000006" customHeight="1">
      <c r="A18" s="10">
        <v>14</v>
      </c>
      <c r="B18" s="11" t="s">
        <v>40</v>
      </c>
      <c r="C18" s="11" t="s">
        <v>9</v>
      </c>
      <c r="D18" s="11" t="s">
        <v>59</v>
      </c>
      <c r="E18" s="29" t="s">
        <v>62</v>
      </c>
      <c r="F18" s="20" t="s">
        <v>150</v>
      </c>
      <c r="G18" s="21" t="s">
        <v>28</v>
      </c>
      <c r="H18" s="12">
        <f t="shared" si="0"/>
        <v>0</v>
      </c>
      <c r="I18" s="22" t="s">
        <v>208</v>
      </c>
    </row>
    <row r="19" spans="1:9" s="1" customFormat="1" ht="69.900000000000006" customHeight="1">
      <c r="A19" s="10">
        <v>15</v>
      </c>
      <c r="B19" s="11" t="s">
        <v>40</v>
      </c>
      <c r="C19" s="11" t="s">
        <v>108</v>
      </c>
      <c r="D19" s="11" t="s">
        <v>35</v>
      </c>
      <c r="E19" s="29" t="s">
        <v>61</v>
      </c>
      <c r="F19" s="22" t="s">
        <v>233</v>
      </c>
      <c r="G19" s="21" t="s">
        <v>84</v>
      </c>
      <c r="H19" s="12">
        <f t="shared" si="0"/>
        <v>0.25</v>
      </c>
      <c r="I19" s="22" t="s">
        <v>209</v>
      </c>
    </row>
    <row r="20" spans="1:9" s="1" customFormat="1" ht="69.900000000000006" customHeight="1">
      <c r="A20" s="10">
        <v>16</v>
      </c>
      <c r="B20" s="10" t="s">
        <v>44</v>
      </c>
      <c r="C20" s="11" t="s">
        <v>109</v>
      </c>
      <c r="D20" s="11" t="s">
        <v>63</v>
      </c>
      <c r="E20" s="29" t="s">
        <v>95</v>
      </c>
      <c r="F20" s="22" t="s">
        <v>234</v>
      </c>
      <c r="G20" s="21" t="s">
        <v>28</v>
      </c>
      <c r="H20" s="12">
        <f t="shared" si="0"/>
        <v>0</v>
      </c>
      <c r="I20" s="22" t="s">
        <v>235</v>
      </c>
    </row>
    <row r="21" spans="1:9" s="1" customFormat="1" ht="69.900000000000006" customHeight="1">
      <c r="A21" s="10">
        <v>17</v>
      </c>
      <c r="B21" s="10" t="s">
        <v>44</v>
      </c>
      <c r="C21" s="11" t="s">
        <v>46</v>
      </c>
      <c r="D21" s="11" t="s">
        <v>64</v>
      </c>
      <c r="E21" s="29" t="s">
        <v>45</v>
      </c>
      <c r="F21" s="22" t="s">
        <v>175</v>
      </c>
      <c r="G21" s="21" t="s">
        <v>84</v>
      </c>
      <c r="H21" s="12">
        <f t="shared" si="0"/>
        <v>0.25</v>
      </c>
      <c r="I21" s="22" t="s">
        <v>236</v>
      </c>
    </row>
    <row r="22" spans="1:9" s="1" customFormat="1" ht="69.900000000000006" customHeight="1">
      <c r="A22" s="10">
        <v>18</v>
      </c>
      <c r="B22" s="10" t="s">
        <v>44</v>
      </c>
      <c r="C22" s="11" t="s">
        <v>8</v>
      </c>
      <c r="D22" s="11" t="s">
        <v>65</v>
      </c>
      <c r="E22" s="29" t="s">
        <v>21</v>
      </c>
      <c r="F22" s="22" t="s">
        <v>237</v>
      </c>
      <c r="G22" s="21" t="s">
        <v>28</v>
      </c>
      <c r="H22" s="12">
        <f t="shared" si="0"/>
        <v>0</v>
      </c>
      <c r="I22" s="22" t="s">
        <v>238</v>
      </c>
    </row>
    <row r="23" spans="1:9" s="1" customFormat="1" ht="69.900000000000006" customHeight="1">
      <c r="A23" s="10">
        <v>19</v>
      </c>
      <c r="B23" s="10" t="s">
        <v>44</v>
      </c>
      <c r="C23" s="11" t="s">
        <v>110</v>
      </c>
      <c r="D23" s="11" t="s">
        <v>65</v>
      </c>
      <c r="E23" s="29" t="s">
        <v>34</v>
      </c>
      <c r="F23" s="22" t="s">
        <v>176</v>
      </c>
      <c r="G23" s="21" t="s">
        <v>84</v>
      </c>
      <c r="H23" s="12">
        <f t="shared" si="0"/>
        <v>0.25</v>
      </c>
      <c r="I23" s="22" t="s">
        <v>210</v>
      </c>
    </row>
    <row r="24" spans="1:9" s="1" customFormat="1" ht="69.900000000000006" customHeight="1">
      <c r="A24" s="10">
        <v>20</v>
      </c>
      <c r="B24" s="10" t="s">
        <v>44</v>
      </c>
      <c r="C24" s="11" t="s">
        <v>31</v>
      </c>
      <c r="D24" s="11" t="s">
        <v>58</v>
      </c>
      <c r="E24" s="29" t="s">
        <v>22</v>
      </c>
      <c r="F24" s="22" t="s">
        <v>239</v>
      </c>
      <c r="G24" s="21" t="s">
        <v>84</v>
      </c>
      <c r="H24" s="12">
        <f t="shared" si="0"/>
        <v>0.25</v>
      </c>
      <c r="I24" s="22" t="s">
        <v>211</v>
      </c>
    </row>
    <row r="25" spans="1:9" s="1" customFormat="1" ht="69.900000000000006" customHeight="1">
      <c r="A25" s="10">
        <v>21</v>
      </c>
      <c r="B25" s="10" t="s">
        <v>44</v>
      </c>
      <c r="C25" s="11" t="s">
        <v>111</v>
      </c>
      <c r="D25" s="11" t="s">
        <v>47</v>
      </c>
      <c r="E25" s="29" t="s">
        <v>92</v>
      </c>
      <c r="F25" s="22" t="s">
        <v>177</v>
      </c>
      <c r="G25" s="21" t="s">
        <v>84</v>
      </c>
      <c r="H25" s="12">
        <f t="shared" si="0"/>
        <v>0.25</v>
      </c>
      <c r="I25" s="22" t="s">
        <v>178</v>
      </c>
    </row>
    <row r="26" spans="1:9" s="1" customFormat="1" ht="69.900000000000006" customHeight="1">
      <c r="A26" s="10">
        <v>22</v>
      </c>
      <c r="B26" s="10" t="s">
        <v>44</v>
      </c>
      <c r="C26" s="11" t="s">
        <v>112</v>
      </c>
      <c r="D26" s="11" t="s">
        <v>64</v>
      </c>
      <c r="E26" s="29" t="s">
        <v>23</v>
      </c>
      <c r="F26" s="22" t="s">
        <v>212</v>
      </c>
      <c r="G26" s="21" t="s">
        <v>84</v>
      </c>
      <c r="H26" s="12">
        <f t="shared" si="0"/>
        <v>0.25</v>
      </c>
      <c r="I26" s="22" t="s">
        <v>160</v>
      </c>
    </row>
    <row r="27" spans="1:9" s="1" customFormat="1" ht="69.900000000000006" customHeight="1">
      <c r="A27" s="10">
        <v>23</v>
      </c>
      <c r="B27" s="10" t="s">
        <v>44</v>
      </c>
      <c r="C27" s="11" t="s">
        <v>113</v>
      </c>
      <c r="D27" s="11" t="s">
        <v>66</v>
      </c>
      <c r="E27" s="29" t="s">
        <v>86</v>
      </c>
      <c r="F27" s="22" t="s">
        <v>213</v>
      </c>
      <c r="G27" s="21" t="s">
        <v>28</v>
      </c>
      <c r="H27" s="12">
        <f t="shared" si="0"/>
        <v>0</v>
      </c>
      <c r="I27" s="22" t="s">
        <v>214</v>
      </c>
    </row>
    <row r="28" spans="1:9" s="1" customFormat="1" ht="69.900000000000006" customHeight="1">
      <c r="A28" s="10">
        <v>24</v>
      </c>
      <c r="B28" s="10" t="s">
        <v>44</v>
      </c>
      <c r="C28" s="11" t="s">
        <v>114</v>
      </c>
      <c r="D28" s="11" t="s">
        <v>66</v>
      </c>
      <c r="E28" s="29" t="s">
        <v>15</v>
      </c>
      <c r="F28" s="22" t="s">
        <v>213</v>
      </c>
      <c r="G28" s="21" t="s">
        <v>28</v>
      </c>
      <c r="H28" s="12">
        <f t="shared" si="0"/>
        <v>0</v>
      </c>
      <c r="I28" s="22" t="s">
        <v>179</v>
      </c>
    </row>
    <row r="29" spans="1:9" s="1" customFormat="1" ht="69.900000000000006" customHeight="1">
      <c r="A29" s="10">
        <v>25</v>
      </c>
      <c r="B29" s="10" t="s">
        <v>44</v>
      </c>
      <c r="C29" s="11" t="s">
        <v>115</v>
      </c>
      <c r="D29" s="11" t="s">
        <v>67</v>
      </c>
      <c r="E29" s="5" t="s">
        <v>16</v>
      </c>
      <c r="F29" s="22" t="s">
        <v>149</v>
      </c>
      <c r="G29" s="21" t="s">
        <v>28</v>
      </c>
      <c r="H29" s="12">
        <f t="shared" si="0"/>
        <v>0</v>
      </c>
      <c r="I29" s="22" t="s">
        <v>152</v>
      </c>
    </row>
    <row r="30" spans="1:9" s="1" customFormat="1" ht="69.900000000000006" customHeight="1">
      <c r="A30" s="10">
        <v>26</v>
      </c>
      <c r="B30" s="10" t="s">
        <v>44</v>
      </c>
      <c r="C30" s="11" t="s">
        <v>116</v>
      </c>
      <c r="D30" s="11" t="s">
        <v>54</v>
      </c>
      <c r="E30" s="5" t="s">
        <v>87</v>
      </c>
      <c r="F30" s="22" t="s">
        <v>215</v>
      </c>
      <c r="G30" s="21" t="s">
        <v>28</v>
      </c>
      <c r="H30" s="12">
        <f t="shared" si="0"/>
        <v>0</v>
      </c>
      <c r="I30" s="22" t="s">
        <v>180</v>
      </c>
    </row>
    <row r="31" spans="1:9" s="1" customFormat="1" ht="69.900000000000006" customHeight="1">
      <c r="A31" s="10">
        <v>27</v>
      </c>
      <c r="B31" s="10" t="s">
        <v>48</v>
      </c>
      <c r="C31" s="11" t="s">
        <v>118</v>
      </c>
      <c r="D31" s="11" t="s">
        <v>58</v>
      </c>
      <c r="E31" s="5" t="s">
        <v>52</v>
      </c>
      <c r="F31" s="22" t="s">
        <v>149</v>
      </c>
      <c r="G31" s="21" t="s">
        <v>28</v>
      </c>
      <c r="H31" s="12">
        <f t="shared" si="0"/>
        <v>0</v>
      </c>
      <c r="I31" s="22" t="s">
        <v>153</v>
      </c>
    </row>
    <row r="32" spans="1:9" s="1" customFormat="1" ht="69.900000000000006" customHeight="1">
      <c r="A32" s="10">
        <v>28</v>
      </c>
      <c r="B32" s="10" t="s">
        <v>48</v>
      </c>
      <c r="C32" s="11" t="s">
        <v>37</v>
      </c>
      <c r="D32" s="11" t="s">
        <v>58</v>
      </c>
      <c r="E32" s="5" t="s">
        <v>17</v>
      </c>
      <c r="F32" s="22" t="s">
        <v>149</v>
      </c>
      <c r="G32" s="21" t="s">
        <v>28</v>
      </c>
      <c r="H32" s="12">
        <f t="shared" si="0"/>
        <v>0</v>
      </c>
      <c r="I32" s="22" t="s">
        <v>154</v>
      </c>
    </row>
    <row r="33" spans="1:9" s="1" customFormat="1" ht="69.900000000000006" customHeight="1">
      <c r="A33" s="10">
        <v>29</v>
      </c>
      <c r="B33" s="10" t="s">
        <v>48</v>
      </c>
      <c r="C33" s="11" t="s">
        <v>117</v>
      </c>
      <c r="D33" s="11" t="s">
        <v>70</v>
      </c>
      <c r="E33" s="5" t="s">
        <v>18</v>
      </c>
      <c r="F33" s="22" t="s">
        <v>149</v>
      </c>
      <c r="G33" s="21" t="s">
        <v>28</v>
      </c>
      <c r="H33" s="12">
        <f t="shared" si="0"/>
        <v>0</v>
      </c>
      <c r="I33" s="22" t="s">
        <v>161</v>
      </c>
    </row>
    <row r="34" spans="1:9" s="1" customFormat="1" ht="69.900000000000006" customHeight="1">
      <c r="A34" s="10">
        <v>30</v>
      </c>
      <c r="B34" s="10" t="s">
        <v>48</v>
      </c>
      <c r="C34" s="11" t="s">
        <v>105</v>
      </c>
      <c r="D34" s="11" t="s">
        <v>41</v>
      </c>
      <c r="E34" s="5" t="s">
        <v>53</v>
      </c>
      <c r="F34" s="22" t="s">
        <v>149</v>
      </c>
      <c r="G34" s="21" t="s">
        <v>28</v>
      </c>
      <c r="H34" s="12">
        <f t="shared" si="0"/>
        <v>0</v>
      </c>
      <c r="I34" s="22" t="s">
        <v>155</v>
      </c>
    </row>
    <row r="35" spans="1:9" s="1" customFormat="1" ht="69.900000000000006" customHeight="1">
      <c r="A35" s="10">
        <v>31</v>
      </c>
      <c r="B35" s="10" t="s">
        <v>48</v>
      </c>
      <c r="C35" s="11" t="s">
        <v>8</v>
      </c>
      <c r="D35" s="11" t="s">
        <v>65</v>
      </c>
      <c r="E35" s="5" t="s">
        <v>20</v>
      </c>
      <c r="F35" s="22" t="s">
        <v>216</v>
      </c>
      <c r="G35" s="21" t="s">
        <v>28</v>
      </c>
      <c r="H35" s="12">
        <f t="shared" si="0"/>
        <v>0</v>
      </c>
      <c r="I35" s="22" t="s">
        <v>217</v>
      </c>
    </row>
    <row r="36" spans="1:9" s="1" customFormat="1" ht="69.900000000000006" customHeight="1">
      <c r="A36" s="10">
        <v>32</v>
      </c>
      <c r="B36" s="10" t="s">
        <v>48</v>
      </c>
      <c r="C36" s="11" t="s">
        <v>31</v>
      </c>
      <c r="D36" s="11" t="s">
        <v>58</v>
      </c>
      <c r="E36" s="5" t="s">
        <v>19</v>
      </c>
      <c r="F36" s="22" t="s">
        <v>149</v>
      </c>
      <c r="G36" s="21" t="s">
        <v>28</v>
      </c>
      <c r="H36" s="12">
        <f t="shared" si="0"/>
        <v>0</v>
      </c>
      <c r="I36" s="22" t="s">
        <v>181</v>
      </c>
    </row>
    <row r="37" spans="1:9" s="1" customFormat="1" ht="69.900000000000006" customHeight="1">
      <c r="A37" s="10">
        <v>33</v>
      </c>
      <c r="B37" s="10" t="s">
        <v>48</v>
      </c>
      <c r="C37" s="11" t="s">
        <v>32</v>
      </c>
      <c r="D37" s="11" t="s">
        <v>71</v>
      </c>
      <c r="E37" s="5" t="s">
        <v>25</v>
      </c>
      <c r="F37" s="22" t="s">
        <v>149</v>
      </c>
      <c r="G37" s="21" t="s">
        <v>28</v>
      </c>
      <c r="H37" s="12">
        <f t="shared" si="0"/>
        <v>0</v>
      </c>
      <c r="I37" s="22" t="s">
        <v>182</v>
      </c>
    </row>
    <row r="38" spans="1:9" s="1" customFormat="1" ht="69.900000000000006" customHeight="1">
      <c r="A38" s="10">
        <v>34</v>
      </c>
      <c r="B38" s="11" t="s">
        <v>82</v>
      </c>
      <c r="C38" s="11" t="s">
        <v>118</v>
      </c>
      <c r="D38" s="11" t="s">
        <v>58</v>
      </c>
      <c r="E38" s="5" t="s">
        <v>1</v>
      </c>
      <c r="F38" s="22" t="s">
        <v>149</v>
      </c>
      <c r="G38" s="21" t="s">
        <v>28</v>
      </c>
      <c r="H38" s="12">
        <f t="shared" si="0"/>
        <v>0</v>
      </c>
      <c r="I38" s="22" t="s">
        <v>153</v>
      </c>
    </row>
    <row r="39" spans="1:9" s="1" customFormat="1" ht="69.900000000000006" customHeight="1">
      <c r="A39" s="10">
        <v>35</v>
      </c>
      <c r="B39" s="11" t="s">
        <v>82</v>
      </c>
      <c r="C39" s="11" t="s">
        <v>121</v>
      </c>
      <c r="D39" s="11" t="s">
        <v>72</v>
      </c>
      <c r="E39" s="5" t="s">
        <v>2</v>
      </c>
      <c r="F39" s="22" t="s">
        <v>156</v>
      </c>
      <c r="G39" s="21" t="s">
        <v>28</v>
      </c>
      <c r="H39" s="12">
        <f t="shared" si="0"/>
        <v>0</v>
      </c>
      <c r="I39" s="22"/>
    </row>
    <row r="40" spans="1:9" s="1" customFormat="1" ht="69.900000000000006" customHeight="1">
      <c r="A40" s="10">
        <v>36</v>
      </c>
      <c r="B40" s="11" t="s">
        <v>82</v>
      </c>
      <c r="C40" s="11" t="s">
        <v>218</v>
      </c>
      <c r="D40" s="11" t="s">
        <v>72</v>
      </c>
      <c r="E40" s="5" t="s">
        <v>4</v>
      </c>
      <c r="F40" s="22" t="s">
        <v>156</v>
      </c>
      <c r="G40" s="21" t="s">
        <v>28</v>
      </c>
      <c r="H40" s="12">
        <f t="shared" si="0"/>
        <v>0</v>
      </c>
      <c r="I40" s="22"/>
    </row>
    <row r="41" spans="1:9" s="1" customFormat="1" ht="69.900000000000006" customHeight="1">
      <c r="A41" s="10">
        <v>37</v>
      </c>
      <c r="B41" s="11" t="s">
        <v>82</v>
      </c>
      <c r="C41" s="11" t="s">
        <v>119</v>
      </c>
      <c r="D41" s="11" t="s">
        <v>58</v>
      </c>
      <c r="E41" s="5" t="s">
        <v>96</v>
      </c>
      <c r="F41" s="22" t="s">
        <v>150</v>
      </c>
      <c r="G41" s="21" t="s">
        <v>28</v>
      </c>
      <c r="H41" s="12">
        <f t="shared" si="0"/>
        <v>0</v>
      </c>
      <c r="I41" s="22"/>
    </row>
    <row r="42" spans="1:9" s="1" customFormat="1" ht="69.900000000000006" customHeight="1">
      <c r="A42" s="10">
        <v>38</v>
      </c>
      <c r="B42" s="11" t="s">
        <v>82</v>
      </c>
      <c r="C42" s="11" t="s">
        <v>54</v>
      </c>
      <c r="D42" s="11" t="s">
        <v>54</v>
      </c>
      <c r="E42" s="5" t="s">
        <v>97</v>
      </c>
      <c r="F42" s="22" t="s">
        <v>157</v>
      </c>
      <c r="G42" s="21" t="s">
        <v>28</v>
      </c>
      <c r="H42" s="12">
        <f t="shared" si="0"/>
        <v>0</v>
      </c>
      <c r="I42" s="22"/>
    </row>
    <row r="43" spans="1:9" s="1" customFormat="1" ht="69.900000000000006" customHeight="1">
      <c r="A43" s="10">
        <v>39</v>
      </c>
      <c r="B43" s="11" t="s">
        <v>82</v>
      </c>
      <c r="C43" s="11" t="s">
        <v>122</v>
      </c>
      <c r="D43" s="11" t="s">
        <v>72</v>
      </c>
      <c r="E43" s="5" t="s">
        <v>3</v>
      </c>
      <c r="F43" s="22" t="s">
        <v>157</v>
      </c>
      <c r="G43" s="21" t="s">
        <v>28</v>
      </c>
      <c r="H43" s="12">
        <f t="shared" si="0"/>
        <v>0</v>
      </c>
      <c r="I43" s="22"/>
    </row>
    <row r="44" spans="1:9" s="1" customFormat="1" ht="69.900000000000006" customHeight="1">
      <c r="A44" s="10">
        <v>40</v>
      </c>
      <c r="B44" s="11" t="s">
        <v>82</v>
      </c>
      <c r="C44" s="11" t="s">
        <v>123</v>
      </c>
      <c r="D44" s="11" t="s">
        <v>73</v>
      </c>
      <c r="E44" s="5" t="s">
        <v>33</v>
      </c>
      <c r="F44" s="22" t="s">
        <v>157</v>
      </c>
      <c r="G44" s="21" t="s">
        <v>28</v>
      </c>
      <c r="H44" s="12">
        <f t="shared" si="0"/>
        <v>0</v>
      </c>
      <c r="I44" s="22"/>
    </row>
    <row r="45" spans="1:9" s="1" customFormat="1" ht="69.900000000000006" customHeight="1">
      <c r="A45" s="10">
        <v>41</v>
      </c>
      <c r="B45" s="11" t="s">
        <v>82</v>
      </c>
      <c r="C45" s="11" t="s">
        <v>120</v>
      </c>
      <c r="D45" s="11" t="s">
        <v>73</v>
      </c>
      <c r="E45" s="5" t="s">
        <v>93</v>
      </c>
      <c r="F45" s="22" t="s">
        <v>157</v>
      </c>
      <c r="G45" s="21" t="s">
        <v>28</v>
      </c>
      <c r="H45" s="12">
        <f t="shared" si="0"/>
        <v>0</v>
      </c>
      <c r="I45" s="22"/>
    </row>
    <row r="46" spans="1:9" s="1" customFormat="1" ht="69.900000000000006" customHeight="1">
      <c r="A46" s="10">
        <v>42</v>
      </c>
      <c r="B46" s="11" t="s">
        <v>124</v>
      </c>
      <c r="C46" s="11" t="s">
        <v>125</v>
      </c>
      <c r="D46" s="11" t="s">
        <v>74</v>
      </c>
      <c r="E46" s="5" t="s">
        <v>55</v>
      </c>
      <c r="F46" s="22" t="s">
        <v>240</v>
      </c>
      <c r="G46" s="21" t="s">
        <v>84</v>
      </c>
      <c r="H46" s="12">
        <f t="shared" si="0"/>
        <v>0.25</v>
      </c>
      <c r="I46" s="22" t="s">
        <v>219</v>
      </c>
    </row>
    <row r="47" spans="1:9" s="1" customFormat="1" ht="69.900000000000006" customHeight="1">
      <c r="A47" s="10">
        <v>43</v>
      </c>
      <c r="B47" s="11" t="s">
        <v>124</v>
      </c>
      <c r="C47" s="11" t="s">
        <v>126</v>
      </c>
      <c r="D47" s="11" t="s">
        <v>74</v>
      </c>
      <c r="E47" s="5" t="s">
        <v>56</v>
      </c>
      <c r="F47" s="22" t="s">
        <v>183</v>
      </c>
      <c r="G47" s="21" t="s">
        <v>84</v>
      </c>
      <c r="H47" s="12">
        <f t="shared" si="0"/>
        <v>0.25</v>
      </c>
      <c r="I47" s="22" t="s">
        <v>219</v>
      </c>
    </row>
    <row r="48" spans="1:9" s="1" customFormat="1" ht="69.900000000000006" customHeight="1">
      <c r="A48" s="10">
        <v>44</v>
      </c>
      <c r="B48" s="11" t="s">
        <v>124</v>
      </c>
      <c r="C48" s="11" t="s">
        <v>129</v>
      </c>
      <c r="D48" s="11" t="s">
        <v>44</v>
      </c>
      <c r="E48" s="5" t="s">
        <v>98</v>
      </c>
      <c r="F48" s="22" t="s">
        <v>158</v>
      </c>
      <c r="G48" s="21" t="s">
        <v>28</v>
      </c>
      <c r="H48" s="12">
        <f t="shared" si="0"/>
        <v>0</v>
      </c>
      <c r="I48" s="22" t="s">
        <v>220</v>
      </c>
    </row>
    <row r="49" spans="1:9" s="1" customFormat="1" ht="69.900000000000006" customHeight="1">
      <c r="A49" s="10">
        <v>45</v>
      </c>
      <c r="B49" s="11" t="s">
        <v>124</v>
      </c>
      <c r="C49" s="11" t="s">
        <v>128</v>
      </c>
      <c r="D49" s="11" t="s">
        <v>88</v>
      </c>
      <c r="E49" s="5" t="s">
        <v>99</v>
      </c>
      <c r="F49" s="22" t="s">
        <v>221</v>
      </c>
      <c r="G49" s="21" t="s">
        <v>28</v>
      </c>
      <c r="H49" s="12">
        <f t="shared" si="0"/>
        <v>0</v>
      </c>
      <c r="I49" s="22" t="s">
        <v>222</v>
      </c>
    </row>
    <row r="50" spans="1:9" s="1" customFormat="1" ht="69.900000000000006" customHeight="1">
      <c r="A50" s="10">
        <v>46</v>
      </c>
      <c r="B50" s="11" t="s">
        <v>124</v>
      </c>
      <c r="C50" s="11" t="s">
        <v>130</v>
      </c>
      <c r="D50" s="11" t="s">
        <v>35</v>
      </c>
      <c r="E50" s="5" t="s">
        <v>223</v>
      </c>
      <c r="F50" s="22" t="s">
        <v>224</v>
      </c>
      <c r="G50" s="21" t="s">
        <v>28</v>
      </c>
      <c r="H50" s="12">
        <f t="shared" si="0"/>
        <v>0</v>
      </c>
      <c r="I50" s="22" t="s">
        <v>225</v>
      </c>
    </row>
    <row r="51" spans="1:9" s="1" customFormat="1" ht="69.900000000000006" customHeight="1">
      <c r="A51" s="10">
        <v>47</v>
      </c>
      <c r="B51" s="11" t="s">
        <v>124</v>
      </c>
      <c r="C51" s="11" t="s">
        <v>131</v>
      </c>
      <c r="D51" s="11" t="s">
        <v>63</v>
      </c>
      <c r="E51" s="5" t="s">
        <v>100</v>
      </c>
      <c r="F51" s="22" t="s">
        <v>184</v>
      </c>
      <c r="G51" s="21" t="s">
        <v>84</v>
      </c>
      <c r="H51" s="12">
        <f t="shared" si="0"/>
        <v>0.25</v>
      </c>
      <c r="I51" s="22" t="s">
        <v>226</v>
      </c>
    </row>
    <row r="52" spans="1:9" s="1" customFormat="1" ht="119.25" customHeight="1">
      <c r="A52" s="10">
        <v>48</v>
      </c>
      <c r="B52" s="11" t="s">
        <v>124</v>
      </c>
      <c r="C52" s="11" t="s">
        <v>127</v>
      </c>
      <c r="D52" s="11" t="s">
        <v>75</v>
      </c>
      <c r="E52" s="5" t="s">
        <v>185</v>
      </c>
      <c r="F52" s="22" t="s">
        <v>241</v>
      </c>
      <c r="G52" s="21" t="s">
        <v>84</v>
      </c>
      <c r="H52" s="12">
        <f t="shared" si="0"/>
        <v>0.25</v>
      </c>
      <c r="I52" s="22" t="s">
        <v>186</v>
      </c>
    </row>
    <row r="53" spans="1:9" s="1" customFormat="1" ht="69.900000000000006" customHeight="1">
      <c r="A53" s="10">
        <v>49</v>
      </c>
      <c r="B53" s="11" t="s">
        <v>124</v>
      </c>
      <c r="C53" s="11" t="s">
        <v>187</v>
      </c>
      <c r="D53" s="11" t="s">
        <v>76</v>
      </c>
      <c r="E53" s="5" t="s">
        <v>188</v>
      </c>
      <c r="F53" s="22" t="s">
        <v>149</v>
      </c>
      <c r="G53" s="21" t="s">
        <v>28</v>
      </c>
      <c r="H53" s="12">
        <f t="shared" si="0"/>
        <v>0</v>
      </c>
      <c r="I53" s="22" t="s">
        <v>189</v>
      </c>
    </row>
    <row r="54" spans="1:9" s="1" customFormat="1" ht="69.900000000000006" customHeight="1">
      <c r="A54" s="10">
        <v>50</v>
      </c>
      <c r="B54" s="11" t="s">
        <v>124</v>
      </c>
      <c r="C54" s="11" t="s">
        <v>132</v>
      </c>
      <c r="D54" s="11" t="s">
        <v>77</v>
      </c>
      <c r="E54" s="5" t="s">
        <v>101</v>
      </c>
      <c r="F54" s="22" t="s">
        <v>190</v>
      </c>
      <c r="G54" s="21" t="s">
        <v>28</v>
      </c>
      <c r="H54" s="12">
        <f t="shared" si="0"/>
        <v>0</v>
      </c>
      <c r="I54" s="22" t="s">
        <v>191</v>
      </c>
    </row>
    <row r="55" spans="1:9" hidden="1">
      <c r="F55" s="13"/>
      <c r="G55" s="13"/>
      <c r="I55" s="13"/>
    </row>
    <row r="56" spans="1:9" hidden="1">
      <c r="F56" s="13"/>
      <c r="G56" s="13"/>
      <c r="I56" s="13"/>
    </row>
    <row r="57" spans="1:9" hidden="1">
      <c r="F57" s="13"/>
      <c r="G57" s="13"/>
      <c r="I57" s="13"/>
    </row>
    <row r="58" spans="1:9" hidden="1">
      <c r="F58" s="13"/>
      <c r="G58" s="13"/>
      <c r="I58" s="13"/>
    </row>
    <row r="59" spans="1:9" hidden="1">
      <c r="F59" s="13"/>
      <c r="G59" s="13"/>
      <c r="I59" s="13"/>
    </row>
    <row r="60" spans="1:9" hidden="1">
      <c r="F60" s="13"/>
      <c r="G60" s="13"/>
      <c r="I60" s="13"/>
    </row>
    <row r="61" spans="1:9" hidden="1">
      <c r="F61" s="13"/>
      <c r="G61" s="13"/>
      <c r="I61" s="13"/>
    </row>
    <row r="62" spans="1:9" hidden="1">
      <c r="F62" s="13"/>
      <c r="G62" s="13"/>
      <c r="I62" s="13"/>
    </row>
    <row r="63" spans="1:9" hidden="1">
      <c r="F63" s="13"/>
      <c r="G63" s="13"/>
      <c r="I63" s="13"/>
    </row>
    <row r="64" spans="1:9" hidden="1">
      <c r="F64" s="13"/>
      <c r="G64" s="13"/>
      <c r="I64" s="13"/>
    </row>
    <row r="65" spans="6:9" hidden="1">
      <c r="F65" s="13"/>
      <c r="G65" s="13"/>
      <c r="I65" s="13"/>
    </row>
    <row r="66" spans="6:9" hidden="1">
      <c r="F66" s="13"/>
      <c r="G66" s="13"/>
      <c r="I66" s="13"/>
    </row>
    <row r="67" spans="6:9" hidden="1">
      <c r="F67" s="13"/>
      <c r="G67" s="13"/>
      <c r="I67" s="13"/>
    </row>
    <row r="68" spans="6:9" hidden="1">
      <c r="F68" s="13"/>
      <c r="G68" s="13"/>
      <c r="I68" s="13"/>
    </row>
    <row r="69" spans="6:9" hidden="1">
      <c r="F69" s="13"/>
      <c r="G69" s="13"/>
      <c r="I69" s="13"/>
    </row>
    <row r="70" spans="6:9" hidden="1">
      <c r="F70" s="13"/>
      <c r="G70" s="13"/>
      <c r="I70" s="13"/>
    </row>
    <row r="71" spans="6:9" hidden="1">
      <c r="F71" s="13"/>
      <c r="G71" s="13"/>
      <c r="I71" s="13"/>
    </row>
    <row r="72" spans="6:9" hidden="1">
      <c r="F72" s="13"/>
      <c r="G72" s="13"/>
      <c r="I72" s="13"/>
    </row>
    <row r="73" spans="6:9" hidden="1">
      <c r="F73" s="13"/>
      <c r="G73" s="13"/>
      <c r="I73" s="13"/>
    </row>
    <row r="74" spans="6:9" hidden="1">
      <c r="I74" s="13"/>
    </row>
    <row r="75" spans="6:9"/>
    <row r="76" spans="6:9"/>
    <row r="77" spans="6:9"/>
  </sheetData>
  <autoFilter ref="A4:H54" xr:uid="{00000000-0009-0000-0000-000001000000}"/>
  <sortState xmlns:xlrd2="http://schemas.microsoft.com/office/spreadsheetml/2017/richdata2" ref="B5:F54">
    <sortCondition ref="B5:B54"/>
    <sortCondition ref="C5:C54"/>
  </sortState>
  <mergeCells count="1">
    <mergeCell ref="E3:G3"/>
  </mergeCells>
  <conditionalFormatting sqref="G5">
    <cfRule type="containsText" dxfId="9" priority="11" operator="containsText" text="NO IMPLEMENTADO">
      <formula>NOT(ISERROR(SEARCH("NO IMPLEMENTADO",G5)))</formula>
    </cfRule>
    <cfRule type="containsText" dxfId="8" priority="12" operator="containsText" text="BÁSICO">
      <formula>NOT(ISERROR(SEARCH("BÁSICO",G5)))</formula>
    </cfRule>
  </conditionalFormatting>
  <conditionalFormatting sqref="G6:G54">
    <cfRule type="containsText" dxfId="7" priority="1" operator="containsText" text="NO IMPLEMENTADO">
      <formula>NOT(ISERROR(SEARCH("NO IMPLEMENTADO",G6)))</formula>
    </cfRule>
    <cfRule type="containsText" dxfId="6" priority="2" operator="containsText" text="BÁSICO">
      <formula>NOT(ISERROR(SEARCH("BÁSICO",G6)))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id="{54EE4A61-A6C2-4520-BB1D-F3394BD4B5EC}">
            <xm:f>NOT(ISERROR(SEARCH("COMPLETA",G5)))</xm:f>
            <xm:f>"COMPLETA"</xm:f>
            <x14:dxf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D62C38C7-BFE6-4E4D-B8AB-8E03B35D57AA}">
            <xm:f>NOT(ISERROR(SEARCH("AVANZADO",G5)))</xm:f>
            <xm:f>"AVANZADO"</xm:f>
            <x14:dxf>
              <fill>
                <patternFill>
                  <bgColor rgb="FFFFC000"/>
                </patternFill>
              </fill>
            </x14:dxf>
          </x14:cfRule>
          <x14:cfRule type="containsText" priority="15" operator="containsText" id="{32563470-26BC-40C8-BC43-0FFB3BCBEFCC}">
            <xm:f>NOT(ISERROR(SEARCH("INTERMEDIO",G5)))</xm:f>
            <xm:f>"INTERMEDIO"</xm:f>
            <x14:dxf>
              <fill>
                <patternFill>
                  <bgColor rgb="FFFFFF00"/>
                </patternFill>
              </fill>
            </x14:dxf>
          </x14:cfRule>
          <xm:sqref>G5</xm:sqref>
        </x14:conditionalFormatting>
        <x14:conditionalFormatting xmlns:xm="http://schemas.microsoft.com/office/excel/2006/main">
          <x14:cfRule type="containsText" priority="3" operator="containsText" id="{6E93D7BB-D737-47F7-9CA6-78C8D0966D6E}">
            <xm:f>NOT(ISERROR(SEARCH("COMPLETA",G6)))</xm:f>
            <xm:f>"COMPLETA"</xm:f>
            <x14:dxf>
              <fill>
                <patternFill>
                  <bgColor rgb="FF92D050"/>
                </patternFill>
              </fill>
            </x14:dxf>
          </x14:cfRule>
          <x14:cfRule type="containsText" priority="4" operator="containsText" id="{54A064ED-F216-4A0B-8C04-B9118AF7097F}">
            <xm:f>NOT(ISERROR(SEARCH("AVANZADO",G6)))</xm:f>
            <xm:f>"AVANZADO"</xm:f>
            <x14:dxf>
              <fill>
                <patternFill>
                  <bgColor rgb="FFFFC000"/>
                </patternFill>
              </fill>
            </x14:dxf>
          </x14:cfRule>
          <x14:cfRule type="containsText" priority="5" operator="containsText" id="{2699FF4F-20E4-4A89-8C30-E99BFDCC3496}">
            <xm:f>NOT(ISERROR(SEARCH("INTERMEDIO",G6)))</xm:f>
            <xm:f>"INTERMEDIO"</xm:f>
            <x14:dxf>
              <fill>
                <patternFill>
                  <bgColor rgb="FFFFFF00"/>
                </patternFill>
              </fill>
            </x14:dxf>
          </x14:cfRule>
          <xm:sqref>G6:G54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Lista!$A$2:$A$6</xm:f>
          </x14:formula1>
          <xm:sqref>G5:G54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2"/>
  <sheetViews>
    <sheetView showGridLines="0" topLeftCell="A4" workbookViewId="0">
      <selection activeCell="C13" sqref="C13"/>
    </sheetView>
  </sheetViews>
  <sheetFormatPr baseColWidth="10" defaultRowHeight="13.2"/>
  <cols>
    <col min="1" max="1" width="6.33203125" customWidth="1"/>
    <col min="2" max="2" width="30.44140625" customWidth="1"/>
  </cols>
  <sheetData>
    <row r="1" spans="2:3" ht="53.25" customHeight="1"/>
    <row r="2" spans="2:3" ht="37.5" customHeight="1">
      <c r="B2" s="36" t="s">
        <v>140</v>
      </c>
      <c r="C2" s="36"/>
    </row>
    <row r="4" spans="2:3">
      <c r="B4" s="24" t="s">
        <v>133</v>
      </c>
      <c r="C4" s="24" t="s">
        <v>134</v>
      </c>
    </row>
    <row r="5" spans="2:3">
      <c r="B5" t="s">
        <v>6</v>
      </c>
      <c r="C5" s="25">
        <f>+AVERAGE('Línea Basal'!H5:H10)</f>
        <v>4.1666666666666664E-2</v>
      </c>
    </row>
    <row r="6" spans="2:3">
      <c r="B6" t="s">
        <v>49</v>
      </c>
      <c r="C6" s="25">
        <f>+AVERAGE('Línea Basal'!H11:H14)</f>
        <v>6.25E-2</v>
      </c>
    </row>
    <row r="7" spans="2:3">
      <c r="B7" t="s">
        <v>135</v>
      </c>
      <c r="C7" s="25">
        <f>+AVERAGE('Línea Basal'!H15:H19)</f>
        <v>0.05</v>
      </c>
    </row>
    <row r="8" spans="2:3">
      <c r="B8" t="s">
        <v>136</v>
      </c>
      <c r="C8" s="25">
        <f>+AVERAGE('Línea Basal'!H20:H30)</f>
        <v>0.11363636363636363</v>
      </c>
    </row>
    <row r="9" spans="2:3">
      <c r="B9" t="s">
        <v>137</v>
      </c>
      <c r="C9" s="25">
        <f>+AVERAGE('Línea Basal'!H31:H37)</f>
        <v>0</v>
      </c>
    </row>
    <row r="10" spans="2:3">
      <c r="B10" t="s">
        <v>138</v>
      </c>
      <c r="C10" s="25">
        <f>+AVERAGE('Línea Basal'!H38:H45)</f>
        <v>0</v>
      </c>
    </row>
    <row r="11" spans="2:3">
      <c r="B11" t="s">
        <v>124</v>
      </c>
      <c r="C11" s="25">
        <f>+AVERAGE('Línea Basal'!H46:H54)</f>
        <v>0.1111111111111111</v>
      </c>
    </row>
    <row r="12" spans="2:3">
      <c r="B12" s="26" t="s">
        <v>139</v>
      </c>
      <c r="C12" s="27">
        <f>+AVERAGE(C5:C11)</f>
        <v>5.4130591630591633E-2</v>
      </c>
    </row>
  </sheetData>
  <mergeCells count="1">
    <mergeCell ref="B2:C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showRowColHeaders="0" topLeftCell="B10" zoomScale="160" zoomScaleNormal="160" workbookViewId="0">
      <selection activeCell="E25" sqref="E25"/>
    </sheetView>
  </sheetViews>
  <sheetFormatPr baseColWidth="10" defaultRowHeight="13.2"/>
  <cols>
    <col min="1" max="1" width="27.88671875" customWidth="1"/>
    <col min="8" max="8" width="36.109375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showRowColHeaders="0" topLeftCell="A7" zoomScale="160" zoomScaleNormal="160" workbookViewId="0">
      <selection activeCell="E25" sqref="E25"/>
    </sheetView>
  </sheetViews>
  <sheetFormatPr baseColWidth="10" defaultRowHeight="13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showRowColHeaders="0" topLeftCell="A4" zoomScale="160" zoomScaleNormal="160" workbookViewId="0">
      <selection activeCell="F25" sqref="F25"/>
    </sheetView>
  </sheetViews>
  <sheetFormatPr baseColWidth="10" defaultRowHeight="13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showRowColHeaders="0" topLeftCell="A7" zoomScale="160" zoomScaleNormal="160" workbookViewId="0">
      <selection activeCell="G25" sqref="G25"/>
    </sheetView>
  </sheetViews>
  <sheetFormatPr baseColWidth="10" defaultRowHeight="13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showRowColHeaders="0" topLeftCell="A4" zoomScale="160" zoomScaleNormal="160" workbookViewId="0">
      <selection activeCell="G25" sqref="G25"/>
    </sheetView>
  </sheetViews>
  <sheetFormatPr baseColWidth="10" defaultRowHeight="13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B1" zoomScale="160" zoomScaleNormal="160" workbookViewId="0">
      <selection activeCell="I24" sqref="I24"/>
    </sheetView>
  </sheetViews>
  <sheetFormatPr baseColWidth="10" defaultRowHeight="13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showRowColHeaders="0" topLeftCell="B1" zoomScale="160" zoomScaleNormal="160" workbookViewId="0">
      <selection activeCell="C6" sqref="C6"/>
    </sheetView>
  </sheetViews>
  <sheetFormatPr baseColWidth="10" defaultRowHeight="13.2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6"/>
  <sheetViews>
    <sheetView workbookViewId="0">
      <selection activeCell="A6" sqref="A6"/>
    </sheetView>
  </sheetViews>
  <sheetFormatPr baseColWidth="10" defaultRowHeight="13.2"/>
  <cols>
    <col min="1" max="1" width="35.44140625" bestFit="1" customWidth="1"/>
  </cols>
  <sheetData>
    <row r="2" spans="1:1">
      <c r="A2" s="6" t="s">
        <v>27</v>
      </c>
    </row>
    <row r="3" spans="1:1">
      <c r="A3" s="6" t="s">
        <v>85</v>
      </c>
    </row>
    <row r="4" spans="1:1">
      <c r="A4" s="6" t="s">
        <v>83</v>
      </c>
    </row>
    <row r="5" spans="1:1">
      <c r="A5" s="6" t="s">
        <v>84</v>
      </c>
    </row>
    <row r="6" spans="1:1">
      <c r="A6" s="6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71B147EA3F1947ABF955E491A1DF77" ma:contentTypeVersion="0" ma:contentTypeDescription="Create a new document." ma:contentTypeScope="" ma:versionID="1e94ec420b8731cdbb07db2b5387ad5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4C0AD6-E3BA-4F87-98D2-E6E054E78F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21B18E-89D7-4A49-AD1D-5C04519D0C0F}">
  <ds:schemaRefs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D728612-96BB-4A2D-8B4F-CDA617262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Portada</vt:lpstr>
      <vt:lpstr>Línea Basal</vt:lpstr>
      <vt:lpstr>Res general</vt:lpstr>
      <vt:lpstr>Res Programa</vt:lpstr>
      <vt:lpstr>Res trabajadores</vt:lpstr>
      <vt:lpstr>Res cultura</vt:lpstr>
      <vt:lpstr>Res máquinas</vt:lpstr>
      <vt:lpstr>Res herramientas</vt:lpstr>
      <vt:lpstr>Res Energías</vt:lpstr>
      <vt:lpstr>Res Mejora</vt:lpstr>
      <vt:lpstr>Lista</vt:lpstr>
    </vt:vector>
  </TitlesOfParts>
  <Company>Seguridad Atempi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</dc:creator>
  <cp:lastModifiedBy>leislie Marcela Coral Duarte</cp:lastModifiedBy>
  <cp:lastPrinted>2014-06-02T21:57:05Z</cp:lastPrinted>
  <dcterms:created xsi:type="dcterms:W3CDTF">2009-01-25T17:40:11Z</dcterms:created>
  <dcterms:modified xsi:type="dcterms:W3CDTF">2021-04-14T12:20:23Z</dcterms:modified>
</cp:coreProperties>
</file>