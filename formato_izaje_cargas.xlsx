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leisl\Desktop\LINEAS BASE\"/>
    </mc:Choice>
  </mc:AlternateContent>
  <xr:revisionPtr revIDLastSave="0" documentId="8_{23A72B2C-1C18-4DA3-B002-34CB6E8D4A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agnóstico " sheetId="5" r:id="rId1"/>
  </sheets>
  <definedNames>
    <definedName name="_xlnm.Print_Area" localSheetId="0">'Diagnóstico '!$A$1:$AL$219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32" i="5" l="1"/>
  <c r="AA92" i="5"/>
  <c r="T188" i="5" s="1"/>
  <c r="AA88" i="5"/>
  <c r="T184" i="5" s="1"/>
  <c r="AA89" i="5"/>
  <c r="T185" i="5" s="1"/>
  <c r="AA90" i="5"/>
  <c r="T186" i="5" s="1"/>
  <c r="AA91" i="5"/>
  <c r="T187" i="5" s="1"/>
  <c r="AA87" i="5"/>
  <c r="T183" i="5" s="1"/>
  <c r="AA80" i="5"/>
  <c r="T162" i="5" s="1"/>
  <c r="AA81" i="5"/>
  <c r="T163" i="5" s="1"/>
  <c r="AA82" i="5"/>
  <c r="T164" i="5" s="1"/>
  <c r="AA83" i="5"/>
  <c r="T165" i="5" s="1"/>
  <c r="AA84" i="5"/>
  <c r="T166" i="5" s="1"/>
  <c r="AA79" i="5"/>
  <c r="T161" i="5" s="1"/>
  <c r="AA76" i="5"/>
  <c r="T148" i="5" s="1"/>
  <c r="AA75" i="5"/>
  <c r="T147" i="5" s="1"/>
  <c r="AA74" i="5"/>
  <c r="T146" i="5" s="1"/>
  <c r="AA73" i="5"/>
  <c r="T145" i="5" s="1"/>
  <c r="AA72" i="5"/>
  <c r="T144" i="5" s="1"/>
  <c r="AA71" i="5"/>
  <c r="T143" i="5" s="1"/>
  <c r="AA70" i="5"/>
  <c r="T142" i="5" s="1"/>
  <c r="AA69" i="5"/>
  <c r="T141" i="5" s="1"/>
  <c r="AA68" i="5"/>
  <c r="T140" i="5" s="1"/>
  <c r="AA55" i="5"/>
  <c r="T120" i="5" s="1"/>
  <c r="AA56" i="5"/>
  <c r="T121" i="5" s="1"/>
  <c r="AA57" i="5"/>
  <c r="T122" i="5" s="1"/>
  <c r="AA58" i="5"/>
  <c r="T123" i="5" s="1"/>
  <c r="AA59" i="5"/>
  <c r="T124" i="5" s="1"/>
  <c r="AA60" i="5"/>
  <c r="T125" i="5" s="1"/>
  <c r="AA61" i="5"/>
  <c r="T126" i="5" s="1"/>
  <c r="AA62" i="5"/>
  <c r="T127" i="5" s="1"/>
  <c r="AA63" i="5"/>
  <c r="T128" i="5" s="1"/>
  <c r="AA64" i="5"/>
  <c r="T129" i="5" s="1"/>
  <c r="AA65" i="5"/>
  <c r="T130" i="5" s="1"/>
  <c r="AA54" i="5"/>
  <c r="T119" i="5" s="1"/>
  <c r="AA45" i="5"/>
  <c r="T105" i="5" s="1"/>
  <c r="AA46" i="5"/>
  <c r="T106" i="5" s="1"/>
  <c r="AA47" i="5"/>
  <c r="T107" i="5" s="1"/>
  <c r="AA48" i="5"/>
  <c r="T108" i="5" s="1"/>
  <c r="AA49" i="5"/>
  <c r="T109" i="5" s="1"/>
  <c r="AA50" i="5"/>
  <c r="T110" i="5" s="1"/>
  <c r="AA51" i="5"/>
  <c r="AA44" i="5"/>
  <c r="T104" i="5" s="1"/>
  <c r="AI34" i="5"/>
  <c r="AI35" i="5"/>
  <c r="AI36" i="5"/>
  <c r="AI37" i="5"/>
  <c r="AI38" i="5"/>
  <c r="AI39" i="5"/>
  <c r="AI33" i="5"/>
  <c r="U161" i="5" l="1"/>
  <c r="U164" i="5" s="1"/>
  <c r="U140" i="5"/>
  <c r="U146" i="5" s="1"/>
  <c r="U119" i="5"/>
  <c r="U124" i="5" s="1"/>
  <c r="U104" i="5"/>
  <c r="U109" i="5" s="1"/>
  <c r="U183" i="5"/>
  <c r="AA93" i="5"/>
  <c r="N209" i="5" s="1"/>
  <c r="AA85" i="5"/>
  <c r="N208" i="5" s="1"/>
  <c r="AA77" i="5"/>
  <c r="N207" i="5" s="1"/>
  <c r="AA66" i="5"/>
  <c r="N206" i="5" s="1"/>
  <c r="AA52" i="5"/>
  <c r="N205" i="5" s="1"/>
  <c r="AR83" i="5"/>
  <c r="AR75" i="5"/>
  <c r="U162" i="5" l="1"/>
  <c r="U163" i="5"/>
  <c r="U166" i="5"/>
  <c r="U165" i="5"/>
  <c r="U188" i="5"/>
  <c r="U185" i="5"/>
  <c r="U184" i="5"/>
  <c r="U186" i="5"/>
  <c r="U187" i="5"/>
  <c r="U144" i="5"/>
  <c r="U147" i="5"/>
  <c r="U141" i="5"/>
  <c r="U143" i="5"/>
  <c r="U145" i="5"/>
  <c r="U142" i="5"/>
  <c r="U148" i="5"/>
  <c r="U130" i="5"/>
  <c r="U125" i="5"/>
  <c r="U120" i="5"/>
  <c r="U126" i="5"/>
  <c r="U121" i="5"/>
  <c r="U127" i="5"/>
  <c r="U122" i="5"/>
  <c r="U128" i="5"/>
  <c r="U123" i="5"/>
  <c r="U129" i="5"/>
  <c r="U107" i="5"/>
  <c r="U110" i="5"/>
  <c r="U105" i="5"/>
  <c r="U108" i="5"/>
  <c r="U106" i="5"/>
  <c r="AA86" i="5"/>
  <c r="Y86" i="5"/>
  <c r="W86" i="5"/>
  <c r="AA78" i="5"/>
  <c r="Y78" i="5"/>
  <c r="W78" i="5"/>
  <c r="AA67" i="5"/>
  <c r="Y67" i="5"/>
  <c r="W67" i="5"/>
  <c r="AA53" i="5"/>
  <c r="Y53" i="5"/>
  <c r="W53" i="5"/>
  <c r="AR36" i="5"/>
  <c r="AR35" i="5"/>
  <c r="AR34" i="5"/>
  <c r="AR33" i="5"/>
  <c r="AQ88" i="5"/>
  <c r="AQ89" i="5"/>
  <c r="AQ90" i="5"/>
  <c r="AQ91" i="5"/>
  <c r="AQ92" i="5"/>
  <c r="AQ87" i="5"/>
  <c r="AQ80" i="5"/>
  <c r="AQ81" i="5"/>
  <c r="AQ82" i="5"/>
  <c r="AQ84" i="5"/>
  <c r="AQ79" i="5"/>
  <c r="AQ69" i="5"/>
  <c r="AQ70" i="5"/>
  <c r="AQ71" i="5"/>
  <c r="AQ72" i="5"/>
  <c r="AQ73" i="5"/>
  <c r="AQ74" i="5"/>
  <c r="AQ76" i="5"/>
  <c r="AQ68" i="5"/>
  <c r="AQ55" i="5"/>
  <c r="AQ56" i="5"/>
  <c r="AQ57" i="5"/>
  <c r="AQ58" i="5"/>
  <c r="AQ59" i="5"/>
  <c r="AQ60" i="5"/>
  <c r="AQ61" i="5"/>
  <c r="AQ62" i="5"/>
  <c r="AQ63" i="5"/>
  <c r="AQ64" i="5"/>
  <c r="AQ65" i="5"/>
  <c r="AQ54" i="5"/>
  <c r="AR84" i="5"/>
  <c r="AR81" i="5"/>
  <c r="AR82" i="5"/>
  <c r="AR80" i="5"/>
  <c r="AR70" i="5"/>
  <c r="AR71" i="5"/>
  <c r="AR72" i="5"/>
  <c r="AR73" i="5"/>
  <c r="AR74" i="5"/>
  <c r="AR76" i="5"/>
  <c r="AR69" i="5"/>
  <c r="AR88" i="5"/>
  <c r="AR89" i="5"/>
  <c r="AR90" i="5"/>
  <c r="AR91" i="5"/>
  <c r="AR92" i="5"/>
  <c r="AR87" i="5"/>
  <c r="AS89" i="5" l="1"/>
  <c r="AS69" i="5"/>
  <c r="AS35" i="5"/>
  <c r="AS90" i="5"/>
  <c r="AS87" i="5"/>
  <c r="AS72" i="5"/>
  <c r="AS76" i="5"/>
  <c r="AS91" i="5"/>
  <c r="AR68" i="5"/>
  <c r="AS68" i="5"/>
  <c r="AS71" i="5"/>
  <c r="AS74" i="5"/>
  <c r="AS70" i="5"/>
  <c r="AR79" i="5"/>
  <c r="AS82" i="5" s="1"/>
  <c r="AS73" i="5"/>
  <c r="AS92" i="5"/>
  <c r="AS88" i="5"/>
  <c r="AS34" i="5"/>
  <c r="AS36" i="5"/>
  <c r="AR65" i="5"/>
  <c r="AR64" i="5"/>
  <c r="AR63" i="5"/>
  <c r="AR62" i="5"/>
  <c r="AS84" i="5" l="1"/>
  <c r="AS80" i="5"/>
  <c r="AS81" i="5"/>
  <c r="AS79" i="5"/>
  <c r="AR61" i="5"/>
  <c r="AR60" i="5"/>
  <c r="AR59" i="5"/>
  <c r="AR58" i="5"/>
  <c r="AR57" i="5"/>
  <c r="AR56" i="5"/>
  <c r="AR55" i="5"/>
  <c r="AR54" i="5"/>
  <c r="AR45" i="5"/>
  <c r="AR46" i="5"/>
  <c r="AR47" i="5"/>
  <c r="AR48" i="5"/>
  <c r="AR49" i="5"/>
  <c r="AR50" i="5"/>
  <c r="AR51" i="5"/>
  <c r="AR44" i="5"/>
  <c r="AS45" i="5" l="1"/>
  <c r="AS49" i="5"/>
  <c r="AS50" i="5"/>
  <c r="AS47" i="5"/>
  <c r="AS51" i="5"/>
  <c r="AS46" i="5"/>
  <c r="AS44" i="5"/>
  <c r="AS56" i="5"/>
  <c r="AS60" i="5"/>
  <c r="AS64" i="5"/>
  <c r="AS57" i="5"/>
  <c r="AS61" i="5"/>
  <c r="AS65" i="5"/>
  <c r="AS58" i="5"/>
  <c r="AS62" i="5"/>
  <c r="AS54" i="5"/>
  <c r="AS55" i="5"/>
  <c r="AS59" i="5"/>
  <c r="AS63" i="5"/>
  <c r="AS48" i="5"/>
  <c r="AS33" i="5"/>
  <c r="AS32" i="5"/>
</calcChain>
</file>

<file path=xl/sharedStrings.xml><?xml version="1.0" encoding="utf-8"?>
<sst xmlns="http://schemas.openxmlformats.org/spreadsheetml/2006/main" count="165" uniqueCount="100">
  <si>
    <t>HERRAMIENTA DE DIAGNOSTICO INCIAL DE ESTADO DE LAS OPERACIONES  EN IZAJE DE CARGAS</t>
  </si>
  <si>
    <t>NIT</t>
  </si>
  <si>
    <t>NOMBRE REP. LEGAL</t>
  </si>
  <si>
    <t>MAIL DE CONTACTO</t>
  </si>
  <si>
    <t>TELEFONO DE CONTACTO</t>
  </si>
  <si>
    <t xml:space="preserve">DIRECCION DE LA EMPRESA </t>
  </si>
  <si>
    <t>CIUDAD</t>
  </si>
  <si>
    <t>PROYECTO  O LOCACIÓN DONDE SE REALIZA  EL DIAGNOSTICO</t>
  </si>
  <si>
    <t>IMPACTO DE LA ACCIDENTALIDAD EN OPERACIONES DE IZAJE DE CARGAS</t>
  </si>
  <si>
    <t>VARIACIÓN</t>
  </si>
  <si>
    <t>VARIABLES DE COMPARACION Y REFERENCIA</t>
  </si>
  <si>
    <t>HORAS DE OPERACIONES DE IZAJE ACUMULADAS</t>
  </si>
  <si>
    <t>NUMERO DE OPERACIONES DE IZAJES REALIZADAS</t>
  </si>
  <si>
    <t>NUMERO DE EVENTOS  CON AFECTACION A INFRAESTRUCTURA Y MAQUINARIA</t>
  </si>
  <si>
    <t>NUMERO DE EVENTOS ASOCIADOS A LAS OPERACIONES DE IZAJES REALIZADAS</t>
  </si>
  <si>
    <t xml:space="preserve">NUMERO DE EVENTOS  CON FATALIDAD ASOCIADOS A LAS OPERACIONES DE IZAJES </t>
  </si>
  <si>
    <t xml:space="preserve">NUMERO DE EVENTOS  CON LESIONES PERSONALES ASOCIADOS A LAS OPERACIONES DE IZAJES </t>
  </si>
  <si>
    <t>NUMERO DE EVENTOS  CON OPERACIONES SUSPENDIDAS POR MAS DE 1 DIA</t>
  </si>
  <si>
    <t>CRITERIOS PARA  EVALUAR EL NIVEL DE ASEGURAMIENTO DE IZAJE</t>
  </si>
  <si>
    <t>Se tiene asignado  presupuesto para el desarrollo de las actividades de izaje</t>
  </si>
  <si>
    <t>El presupuesto garantiza que las operaciones del izaje se realicen por personal competente</t>
  </si>
  <si>
    <t>Se  generan mecanismo y control cumplimiento de aspectos legales y contractuales</t>
  </si>
  <si>
    <t>OBSERVACIONES</t>
  </si>
  <si>
    <t>ETAPA</t>
  </si>
  <si>
    <t>COMPONENTES</t>
  </si>
  <si>
    <t>TOTAL</t>
  </si>
  <si>
    <t>RESULTADO DE ETAPA DE COMPROMISO GERENCIAL</t>
  </si>
  <si>
    <t>COMPROMISO Y LIDERAZGO</t>
  </si>
  <si>
    <t>Se identifica y documentan  Roles y Responsabilidades del personal involucrado en izaje de cargas</t>
  </si>
  <si>
    <t>Se han determinado los requisitos del perfil de cargo para el personal involucrado  en izaje de cargas</t>
  </si>
  <si>
    <t>El personal conoce sus funciones y responsabilidades generales y especificas asociadas a las labores de izajes carga</t>
  </si>
  <si>
    <t>Los resultados de la evaluaciones de desempeño son socializados al personal</t>
  </si>
  <si>
    <t xml:space="preserve">El personal asignados como aparejadores cuentan con certificación de competencias emitido por entes acreditados por ONAC </t>
  </si>
  <si>
    <t>RESULTADO DE ETAPA DE COMPETENCIAS</t>
  </si>
  <si>
    <t>La empresa cuenta con procedimientos seguros de operación para cada uno de los equipos de izaje de cargas y son actualizados periódicamente</t>
  </si>
  <si>
    <t>El personal involucrado en las operaciones de izajes conoce y aplica los procedimientos</t>
  </si>
  <si>
    <t>La empresa para el desarrollo de las actividades de izaje ha establecido y pone en práctica un plan de izaje documentado</t>
  </si>
  <si>
    <t>Se observa registros de inspecciones pre-operacionales de los equipos de izaje en operación al momento de este diagnóstico</t>
  </si>
  <si>
    <t>Frente a los hallazgos de las inspecciones pre operacionales se observa planes de acción de cierre y prevención de recurrencia de hallazgos</t>
  </si>
  <si>
    <t>Se observan registros de control o hoja de vida individual de los equipos de izaje en donde se evidencie las intervenciones por mantenimiento o reparación</t>
  </si>
  <si>
    <t>La empresa realiza evaluaciones de desempeño Teórico prácticas periódicas al personal  responsable del proceso de izaje</t>
  </si>
  <si>
    <t>Se establecen planes de acción basados en los resultados de las evaluaciones de desempeño</t>
  </si>
  <si>
    <t>La empresa ha establecido y desarrollado un programa de capacitación y enteramiento en izaje de cargas, con cobertura a todo el personal involucrado en las operaciones de izajes.</t>
  </si>
  <si>
    <t xml:space="preserve">Existe una política  de seguridad documentada en izajes  de cargas </t>
  </si>
  <si>
    <t>La política es conocida por el personal involucrado en los procesos de izaje</t>
  </si>
  <si>
    <t>El presupuesto garantiza que los equipos de izaje son idóneos y conservan su integridad operacional.</t>
  </si>
  <si>
    <t>Se ha asignado un líder responsable para la implementación del Sistema de control de izajes</t>
  </si>
  <si>
    <t>La empresa cuenta con panorama de peligros en donde se identifique la actividad de izaje de cargas y se definan controles de mitigación del riesgo</t>
  </si>
  <si>
    <t>La empresa realiza auditorias de control documentales y de campo a los procesos de izaje de cargas</t>
  </si>
  <si>
    <t>La empresa cuenta con mecanismo de control y filtro para la gestión de contratistas, proveedores y compras asociadas a las operaciones de izajes</t>
  </si>
  <si>
    <t>La empresa verifica la implementación de controles planteados en la matriz de peligros  para las operaciones de izajes.</t>
  </si>
  <si>
    <t xml:space="preserve">La empresa gestiona los hallazgos de auditorias e inspecciones </t>
  </si>
  <si>
    <t>5. CONTROLES</t>
  </si>
  <si>
    <t>ETAPA III</t>
  </si>
  <si>
    <t>ETAPA II</t>
  </si>
  <si>
    <t>3. INTEGRIDAD</t>
  </si>
  <si>
    <t>2. COMPETENCIAS</t>
  </si>
  <si>
    <t>ETAPA I</t>
  </si>
  <si>
    <t>4. PROCEDIMIENTOS</t>
  </si>
  <si>
    <t>RESULTADO DE ETAPA DE PROCEDIMIENTOS</t>
  </si>
  <si>
    <t>RESULTADO DE ETAPA DE INTEGRIDAD</t>
  </si>
  <si>
    <t>RESULTADO DE ETAPA DE CONTROLES</t>
  </si>
  <si>
    <t xml:space="preserve">OBSERVACIONES GENERALES </t>
  </si>
  <si>
    <t>POND</t>
  </si>
  <si>
    <t xml:space="preserve">                                  </t>
  </si>
  <si>
    <t>VALOR</t>
  </si>
  <si>
    <t>ETAPA I PLANEAR</t>
  </si>
  <si>
    <t>La empresa cuenta con panorama de peligros en donde se identifique y se valoren los riesgos de la actividad de izaje de cargas y se definan controles de mitigación y control  delpeligros asociado</t>
  </si>
  <si>
    <t>NOMBRE DE LA EMPRESA</t>
  </si>
  <si>
    <t>ACTIVIDAD ECONOMICA</t>
  </si>
  <si>
    <t>NOMBRE DE LIDER O RESPONSABLE DE LAS OPERACIONES DE IZAJE</t>
  </si>
  <si>
    <t xml:space="preserve">el personal asigando como supervisores  en izaje de carga con grúas cuentan con Certificación de competencias emitido por entes acreditados por ONAC </t>
  </si>
  <si>
    <t>El personal involucrado ( operador - mecanicos - supervisores ) en las operaciones de izaje de cargas conoce el programa de inspección</t>
  </si>
  <si>
    <t>La empresa cuenta con algún mecanismo de aceptación (inspección) para recibir en operación los equipos   que son liberados de actividades de mantenimiento o reparación.</t>
  </si>
  <si>
    <t>La empresa cuenta con algún mecanismo que garantice la no operación de equipos reportados como defectuosos</t>
  </si>
  <si>
    <t xml:space="preserve">TIPO DE EQUIPOS USADOS PARA REALIZAR IZAJES MECANICOS DE CARGAS </t>
  </si>
  <si>
    <t xml:space="preserve">El personal asignando al izaje de cargas  y en operación actual cumple con el perfil definido por al empresa.  </t>
  </si>
  <si>
    <t>La empresa cuenta con un procedimiento interno para la evaluación del personal involucrado en actividades de izaje de cargas</t>
  </si>
  <si>
    <t xml:space="preserve">El personal asignado como  operadores de equipos de izaje, cuentan con certificación de competencias emitido por entes acreditados por ONAC </t>
  </si>
  <si>
    <t>La empresa ha establecido  un programa de inspecciones pre operacionales  en donde se cubran todos los equipos y elementos de izaje  de uso y en uso por la empresa?</t>
  </si>
  <si>
    <t>La empresa cuenta con un programa de  Mantenimiento Preventivo para  todos los equipos de izajes y accesorios.</t>
  </si>
  <si>
    <t>Los equipos de izaje de carga se encuentran con certificados de inspección emitido por entidades acreditadas por ONAC</t>
  </si>
  <si>
    <t>La empresa cuenta con procedimientos seguros de operación para cada uno de los elementos de izaje de  cargas y son actualizados periódicamente</t>
  </si>
  <si>
    <t>El o los  planes de izaje rutinarios se observan revisados y firmados por el líder o supervisor de izaje.</t>
  </si>
  <si>
    <t>El o los  planes de izaje criticos   se encuentran revisados y firmados por el líder o supervisor  de izaje y  la máxima autoridad en el área.</t>
  </si>
  <si>
    <t xml:space="preserve">La empresa ha definido un mecanismo para identificar y controlar operaciones criticas de izajes </t>
  </si>
  <si>
    <t>La empresa cuenta con un mecanismo de control documental para gestión de la información de las operaciones de izajes, sus equipos y herramientas y personal que permita su archivo su conservación y su recuperación en tiempo real.</t>
  </si>
  <si>
    <t>Un año antes</t>
  </si>
  <si>
    <t>Dos años antes</t>
  </si>
  <si>
    <t>REPRESENTACIÓN GRAFICA COMPROMISO Y LIDERAZGO</t>
  </si>
  <si>
    <t>REPRESENTACIÓN GRAFICA COMPETENCIAS</t>
  </si>
  <si>
    <t>REPRESENTACIÓN GRAFICA INTEGRIDAD</t>
  </si>
  <si>
    <t>REPRESENTACIÓN GRAFICA PROCEDIMIENTOS</t>
  </si>
  <si>
    <t>REPRESENTACIÓN GRAFICA CONTROLES</t>
  </si>
  <si>
    <t>REPRESENTACIÓN GRAFICA ESTADO GENERAL DEL SISTEMA</t>
  </si>
  <si>
    <t>COMPROMISO GERENCIAL</t>
  </si>
  <si>
    <t>COMPETENCIAS</t>
  </si>
  <si>
    <t>INTEGRIDAD OPERACIONAL</t>
  </si>
  <si>
    <t>PROCEDIMIENTOS</t>
  </si>
  <si>
    <t>CONTROLES OPERACIONALES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</si>
</sst>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9"/>
      <color theme="1" tint="4.9989318521683403E-2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293">
    <xf numFmtId="0" fontId="0" fillId="0" borderId="0" xfId="0"/>
    <xf numFmtId="0" fontId="0" fillId="0" borderId="0" xfId="0" applyProtection="1">
      <protection locked="0"/>
    </xf>
    <xf numFmtId="0" fontId="9" fillId="0" borderId="0" xfId="0" applyFont="1" applyProtection="1">
      <protection locked="0"/>
    </xf>
    <xf numFmtId="0" fontId="4" fillId="0" borderId="0" xfId="0" applyFont="1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0" fillId="0" borderId="0" xfId="0" applyAlignment="1" applyProtection="1">
      <alignment horizontal="left"/>
      <protection locked="0"/>
    </xf>
    <xf numFmtId="0" fontId="0" fillId="2" borderId="1" xfId="0" applyFill="1" applyBorder="1" applyProtection="1">
      <protection locked="0"/>
    </xf>
    <xf numFmtId="0" fontId="0" fillId="2" borderId="2" xfId="0" applyFill="1" applyBorder="1" applyProtection="1">
      <protection locked="0"/>
    </xf>
    <xf numFmtId="0" fontId="0" fillId="2" borderId="3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2" borderId="0" xfId="0" applyFill="1" applyProtection="1">
      <protection locked="0"/>
    </xf>
    <xf numFmtId="0" fontId="0" fillId="2" borderId="5" xfId="0" applyFill="1" applyBorder="1" applyProtection="1">
      <protection locked="0"/>
    </xf>
    <xf numFmtId="0" fontId="0" fillId="2" borderId="6" xfId="0" applyFill="1" applyBorder="1" applyProtection="1">
      <protection locked="0"/>
    </xf>
    <xf numFmtId="0" fontId="0" fillId="2" borderId="7" xfId="0" applyFill="1" applyBorder="1" applyProtection="1">
      <protection locked="0"/>
    </xf>
    <xf numFmtId="0" fontId="0" fillId="2" borderId="8" xfId="0" applyFill="1" applyBorder="1" applyProtection="1">
      <protection locked="0"/>
    </xf>
    <xf numFmtId="0" fontId="4" fillId="0" borderId="0" xfId="0" applyFont="1"/>
    <xf numFmtId="0" fontId="9" fillId="0" borderId="0" xfId="0" applyFont="1"/>
    <xf numFmtId="0" fontId="0" fillId="0" borderId="0" xfId="0" applyAlignment="1">
      <alignment horizontal="left"/>
    </xf>
    <xf numFmtId="0" fontId="9" fillId="0" borderId="0" xfId="0" applyFont="1" applyAlignment="1">
      <alignment horizontal="left"/>
    </xf>
    <xf numFmtId="0" fontId="10" fillId="0" borderId="0" xfId="0" applyFont="1" applyAlignment="1">
      <alignment vertical="center" wrapText="1"/>
    </xf>
    <xf numFmtId="2" fontId="9" fillId="0" borderId="0" xfId="0" applyNumberFormat="1" applyFont="1"/>
    <xf numFmtId="0" fontId="9" fillId="2" borderId="2" xfId="0" applyFont="1" applyFill="1" applyBorder="1" applyProtection="1">
      <protection locked="0"/>
    </xf>
    <xf numFmtId="0" fontId="9" fillId="2" borderId="0" xfId="0" applyFont="1" applyFill="1" applyProtection="1">
      <protection locked="0"/>
    </xf>
    <xf numFmtId="0" fontId="9" fillId="2" borderId="1" xfId="0" applyFont="1" applyFill="1" applyBorder="1" applyProtection="1">
      <protection locked="0"/>
    </xf>
    <xf numFmtId="0" fontId="9" fillId="2" borderId="4" xfId="0" applyFont="1" applyFill="1" applyBorder="1" applyProtection="1">
      <protection locked="0"/>
    </xf>
    <xf numFmtId="0" fontId="13" fillId="2" borderId="0" xfId="0" applyFont="1" applyFill="1" applyProtection="1">
      <protection locked="0"/>
    </xf>
    <xf numFmtId="0" fontId="15" fillId="2" borderId="0" xfId="0" applyFont="1" applyFill="1" applyProtection="1">
      <protection locked="0"/>
    </xf>
    <xf numFmtId="9" fontId="0" fillId="2" borderId="0" xfId="1" applyFont="1" applyFill="1" applyBorder="1" applyProtection="1">
      <protection locked="0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0" fillId="2" borderId="0" xfId="0" applyFill="1" applyAlignment="1" applyProtection="1">
      <alignment horizontal="center"/>
      <protection locked="0"/>
    </xf>
    <xf numFmtId="0" fontId="3" fillId="0" borderId="32" xfId="0" applyFont="1" applyBorder="1" applyAlignment="1">
      <alignment horizontal="justify" vertical="center" wrapText="1"/>
    </xf>
    <xf numFmtId="0" fontId="3" fillId="0" borderId="16" xfId="0" applyFont="1" applyBorder="1" applyAlignment="1">
      <alignment horizontal="justify" vertical="center" wrapText="1"/>
    </xf>
    <xf numFmtId="0" fontId="3" fillId="0" borderId="33" xfId="0" applyFont="1" applyBorder="1" applyAlignment="1">
      <alignment horizontal="justify" vertical="center" wrapText="1"/>
    </xf>
    <xf numFmtId="0" fontId="3" fillId="0" borderId="25" xfId="0" applyFont="1" applyBorder="1" applyAlignment="1">
      <alignment horizontal="justify" vertical="center" wrapText="1"/>
    </xf>
    <xf numFmtId="0" fontId="3" fillId="0" borderId="26" xfId="0" applyFont="1" applyBorder="1" applyAlignment="1">
      <alignment horizontal="justify" vertical="center" wrapText="1"/>
    </xf>
    <xf numFmtId="0" fontId="3" fillId="0" borderId="27" xfId="0" applyFont="1" applyBorder="1" applyAlignment="1">
      <alignment horizontal="justify" vertical="center" wrapText="1"/>
    </xf>
    <xf numFmtId="0" fontId="3" fillId="0" borderId="20" xfId="0" applyFont="1" applyBorder="1" applyAlignment="1">
      <alignment horizontal="justify" vertical="center" wrapText="1"/>
    </xf>
    <xf numFmtId="0" fontId="3" fillId="0" borderId="21" xfId="0" applyFont="1" applyBorder="1" applyAlignment="1">
      <alignment horizontal="justify" vertical="center" wrapText="1"/>
    </xf>
    <xf numFmtId="0" fontId="3" fillId="0" borderId="22" xfId="0" applyFont="1" applyBorder="1" applyAlignment="1">
      <alignment horizontal="justify" vertical="center" wrapText="1"/>
    </xf>
    <xf numFmtId="0" fontId="3" fillId="0" borderId="44" xfId="0" applyFont="1" applyBorder="1" applyAlignment="1">
      <alignment horizontal="left" vertical="center" wrapText="1"/>
    </xf>
    <xf numFmtId="0" fontId="3" fillId="0" borderId="45" xfId="0" applyFont="1" applyBorder="1" applyAlignment="1">
      <alignment horizontal="left" vertical="center" wrapText="1"/>
    </xf>
    <xf numFmtId="0" fontId="3" fillId="0" borderId="46" xfId="0" applyFont="1" applyBorder="1" applyAlignment="1">
      <alignment horizontal="left" vertical="center" wrapText="1"/>
    </xf>
    <xf numFmtId="0" fontId="15" fillId="2" borderId="0" xfId="0" applyFont="1" applyFill="1" applyAlignment="1" applyProtection="1">
      <alignment horizontal="center"/>
      <protection locked="0"/>
    </xf>
    <xf numFmtId="0" fontId="2" fillId="2" borderId="4" xfId="0" applyFont="1" applyFill="1" applyBorder="1" applyAlignment="1" applyProtection="1">
      <alignment horizontal="left"/>
      <protection locked="0"/>
    </xf>
    <xf numFmtId="0" fontId="2" fillId="2" borderId="0" xfId="0" applyFont="1" applyFill="1" applyAlignment="1" applyProtection="1">
      <alignment horizontal="left"/>
      <protection locked="0"/>
    </xf>
    <xf numFmtId="0" fontId="13" fillId="2" borderId="0" xfId="0" applyFont="1" applyFill="1" applyAlignment="1" applyProtection="1">
      <alignment horizontal="center"/>
      <protection locked="0"/>
    </xf>
    <xf numFmtId="0" fontId="14" fillId="0" borderId="0" xfId="0" applyFont="1" applyAlignment="1">
      <alignment horizontal="justify" vertical="center" wrapText="1"/>
    </xf>
    <xf numFmtId="0" fontId="12" fillId="2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3" xfId="0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1" fillId="6" borderId="9" xfId="0" applyFont="1" applyFill="1" applyBorder="1" applyAlignment="1">
      <alignment horizontal="center" vertical="center"/>
    </xf>
    <xf numFmtId="0" fontId="3" fillId="0" borderId="23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24" xfId="0" applyFont="1" applyBorder="1" applyAlignment="1">
      <alignment horizontal="left" vertical="center" wrapText="1"/>
    </xf>
    <xf numFmtId="0" fontId="5" fillId="6" borderId="42" xfId="0" applyFont="1" applyFill="1" applyBorder="1" applyAlignment="1">
      <alignment horizontal="center" vertical="center" wrapText="1"/>
    </xf>
    <xf numFmtId="0" fontId="5" fillId="6" borderId="43" xfId="0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/>
    </xf>
    <xf numFmtId="0" fontId="1" fillId="6" borderId="19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 textRotation="90"/>
    </xf>
    <xf numFmtId="0" fontId="1" fillId="0" borderId="31" xfId="0" applyFont="1" applyBorder="1" applyAlignment="1">
      <alignment horizontal="center" vertical="center" textRotation="90"/>
    </xf>
    <xf numFmtId="0" fontId="1" fillId="0" borderId="9" xfId="0" applyFont="1" applyBorder="1" applyAlignment="1">
      <alignment horizontal="center" vertical="center" textRotation="90"/>
    </xf>
    <xf numFmtId="0" fontId="1" fillId="0" borderId="24" xfId="0" applyFont="1" applyBorder="1" applyAlignment="1">
      <alignment horizontal="center" vertical="center" textRotation="90"/>
    </xf>
    <xf numFmtId="0" fontId="1" fillId="0" borderId="26" xfId="0" applyFont="1" applyBorder="1" applyAlignment="1">
      <alignment horizontal="center" vertical="center" textRotation="90"/>
    </xf>
    <xf numFmtId="0" fontId="1" fillId="0" borderId="27" xfId="0" applyFont="1" applyBorder="1" applyAlignment="1">
      <alignment horizontal="center" vertical="center" textRotation="90"/>
    </xf>
    <xf numFmtId="0" fontId="1" fillId="0" borderId="29" xfId="0" applyFont="1" applyBorder="1" applyAlignment="1">
      <alignment horizontal="center" vertical="center" textRotation="90"/>
    </xf>
    <xf numFmtId="0" fontId="1" fillId="0" borderId="23" xfId="0" applyFont="1" applyBorder="1" applyAlignment="1">
      <alignment horizontal="center" vertical="center" textRotation="90"/>
    </xf>
    <xf numFmtId="0" fontId="1" fillId="0" borderId="25" xfId="0" applyFont="1" applyBorder="1" applyAlignment="1">
      <alignment horizontal="center" vertical="center" textRotation="90"/>
    </xf>
    <xf numFmtId="0" fontId="0" fillId="0" borderId="23" xfId="0" applyBorder="1" applyAlignment="1" applyProtection="1">
      <alignment horizontal="left"/>
      <protection locked="0"/>
    </xf>
    <xf numFmtId="0" fontId="0" fillId="0" borderId="9" xfId="0" applyBorder="1" applyAlignment="1" applyProtection="1">
      <alignment horizontal="left"/>
      <protection locked="0"/>
    </xf>
    <xf numFmtId="0" fontId="0" fillId="0" borderId="24" xfId="0" applyBorder="1" applyAlignment="1" applyProtection="1">
      <alignment horizontal="left"/>
      <protection locked="0"/>
    </xf>
    <xf numFmtId="0" fontId="2" fillId="0" borderId="9" xfId="0" applyFont="1" applyBorder="1" applyAlignment="1" applyProtection="1">
      <alignment horizontal="center"/>
      <protection locked="0"/>
    </xf>
    <xf numFmtId="0" fontId="2" fillId="0" borderId="24" xfId="0" applyFont="1" applyBorder="1" applyAlignment="1" applyProtection="1">
      <alignment horizontal="center"/>
      <protection locked="0"/>
    </xf>
    <xf numFmtId="9" fontId="2" fillId="0" borderId="23" xfId="1" applyFont="1" applyBorder="1" applyAlignment="1" applyProtection="1">
      <alignment horizontal="center"/>
    </xf>
    <xf numFmtId="9" fontId="2" fillId="0" borderId="9" xfId="1" applyFont="1" applyBorder="1" applyAlignment="1" applyProtection="1">
      <alignment horizontal="center"/>
    </xf>
    <xf numFmtId="9" fontId="2" fillId="0" borderId="24" xfId="1" applyFont="1" applyBorder="1" applyAlignment="1" applyProtection="1">
      <alignment horizontal="center"/>
    </xf>
    <xf numFmtId="0" fontId="0" fillId="0" borderId="29" xfId="0" applyBorder="1" applyAlignment="1" applyProtection="1">
      <alignment horizontal="left"/>
      <protection locked="0"/>
    </xf>
    <xf numFmtId="0" fontId="0" fillId="0" borderId="30" xfId="0" applyBorder="1" applyAlignment="1" applyProtection="1">
      <alignment horizontal="left"/>
      <protection locked="0"/>
    </xf>
    <xf numFmtId="0" fontId="0" fillId="0" borderId="31" xfId="0" applyBorder="1" applyAlignment="1" applyProtection="1">
      <alignment horizontal="left"/>
      <protection locked="0"/>
    </xf>
    <xf numFmtId="9" fontId="2" fillId="0" borderId="25" xfId="1" applyFont="1" applyBorder="1" applyAlignment="1" applyProtection="1">
      <alignment horizontal="center"/>
    </xf>
    <xf numFmtId="9" fontId="2" fillId="0" borderId="26" xfId="1" applyFont="1" applyBorder="1" applyAlignment="1" applyProtection="1">
      <alignment horizontal="center"/>
    </xf>
    <xf numFmtId="9" fontId="2" fillId="0" borderId="27" xfId="1" applyFont="1" applyBorder="1" applyAlignment="1" applyProtection="1">
      <alignment horizontal="center"/>
    </xf>
    <xf numFmtId="0" fontId="2" fillId="0" borderId="26" xfId="0" applyFont="1" applyBorder="1" applyAlignment="1" applyProtection="1">
      <alignment horizontal="center"/>
      <protection locked="0"/>
    </xf>
    <xf numFmtId="0" fontId="2" fillId="0" borderId="27" xfId="0" applyFont="1" applyBorder="1" applyAlignment="1" applyProtection="1">
      <alignment horizontal="center"/>
      <protection locked="0"/>
    </xf>
    <xf numFmtId="0" fontId="3" fillId="0" borderId="44" xfId="0" applyFont="1" applyBorder="1" applyAlignment="1">
      <alignment horizontal="left"/>
    </xf>
    <xf numFmtId="0" fontId="3" fillId="0" borderId="45" xfId="0" applyFont="1" applyBorder="1" applyAlignment="1">
      <alignment horizontal="left"/>
    </xf>
    <xf numFmtId="0" fontId="3" fillId="0" borderId="49" xfId="0" applyFont="1" applyBorder="1" applyAlignment="1">
      <alignment horizontal="left"/>
    </xf>
    <xf numFmtId="0" fontId="3" fillId="0" borderId="54" xfId="0" applyFont="1" applyBorder="1" applyAlignment="1">
      <alignment horizontal="left"/>
    </xf>
    <xf numFmtId="0" fontId="3" fillId="0" borderId="55" xfId="0" applyFont="1" applyBorder="1" applyAlignment="1">
      <alignment horizontal="left"/>
    </xf>
    <xf numFmtId="0" fontId="3" fillId="0" borderId="56" xfId="0" applyFont="1" applyBorder="1" applyAlignment="1">
      <alignment horizontal="left"/>
    </xf>
    <xf numFmtId="0" fontId="7" fillId="6" borderId="18" xfId="0" applyFont="1" applyFill="1" applyBorder="1" applyAlignment="1">
      <alignment horizontal="center" vertical="center" wrapText="1"/>
    </xf>
    <xf numFmtId="0" fontId="7" fillId="6" borderId="19" xfId="0" applyFont="1" applyFill="1" applyBorder="1" applyAlignment="1">
      <alignment horizontal="center" vertical="center" wrapText="1"/>
    </xf>
    <xf numFmtId="0" fontId="5" fillId="6" borderId="18" xfId="0" applyFont="1" applyFill="1" applyBorder="1" applyAlignment="1">
      <alignment horizontal="center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3" fillId="0" borderId="29" xfId="0" applyFont="1" applyBorder="1" applyAlignment="1">
      <alignment horizontal="left" vertical="center" wrapText="1"/>
    </xf>
    <xf numFmtId="0" fontId="3" fillId="0" borderId="30" xfId="0" applyFont="1" applyBorder="1" applyAlignment="1">
      <alignment horizontal="left" vertical="center" wrapText="1"/>
    </xf>
    <xf numFmtId="0" fontId="3" fillId="0" borderId="31" xfId="0" applyFont="1" applyBorder="1" applyAlignment="1">
      <alignment horizontal="left" vertical="center" wrapText="1"/>
    </xf>
    <xf numFmtId="0" fontId="1" fillId="3" borderId="0" xfId="0" applyFont="1" applyFill="1" applyAlignment="1" applyProtection="1">
      <alignment horizontal="center"/>
      <protection locked="0"/>
    </xf>
    <xf numFmtId="0" fontId="0" fillId="0" borderId="29" xfId="0" applyBorder="1" applyAlignment="1" applyProtection="1">
      <alignment horizontal="center" vertical="center"/>
      <protection locked="0"/>
    </xf>
    <xf numFmtId="0" fontId="0" fillId="0" borderId="30" xfId="0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1" fillId="0" borderId="13" xfId="0" applyFont="1" applyBorder="1" applyAlignment="1" applyProtection="1">
      <alignment horizontal="center" vertical="center" wrapText="1"/>
      <protection locked="0"/>
    </xf>
    <xf numFmtId="0" fontId="1" fillId="0" borderId="14" xfId="0" applyFont="1" applyBorder="1" applyAlignment="1" applyProtection="1">
      <alignment horizontal="center" vertical="center" wrapText="1"/>
      <protection locked="0"/>
    </xf>
    <xf numFmtId="0" fontId="1" fillId="0" borderId="15" xfId="0" applyFont="1" applyBorder="1" applyAlignment="1" applyProtection="1">
      <alignment horizontal="center" vertical="center" wrapText="1"/>
      <protection locked="0"/>
    </xf>
    <xf numFmtId="0" fontId="0" fillId="2" borderId="10" xfId="0" applyFill="1" applyBorder="1" applyAlignment="1" applyProtection="1">
      <alignment horizontal="center" vertical="center"/>
      <protection locked="0"/>
    </xf>
    <xf numFmtId="0" fontId="0" fillId="2" borderId="11" xfId="0" applyFill="1" applyBorder="1" applyAlignment="1" applyProtection="1">
      <alignment horizontal="center" vertical="center"/>
      <protection locked="0"/>
    </xf>
    <xf numFmtId="0" fontId="0" fillId="2" borderId="12" xfId="0" applyFill="1" applyBorder="1" applyAlignment="1" applyProtection="1">
      <alignment horizontal="center" vertical="center"/>
      <protection locked="0"/>
    </xf>
    <xf numFmtId="0" fontId="0" fillId="2" borderId="13" xfId="0" applyFill="1" applyBorder="1" applyAlignment="1" applyProtection="1">
      <alignment horizontal="center" vertical="center"/>
      <protection locked="0"/>
    </xf>
    <xf numFmtId="0" fontId="0" fillId="2" borderId="14" xfId="0" applyFill="1" applyBorder="1" applyAlignment="1" applyProtection="1">
      <alignment horizontal="center" vertical="center"/>
      <protection locked="0"/>
    </xf>
    <xf numFmtId="0" fontId="0" fillId="2" borderId="15" xfId="0" applyFill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/>
    </xf>
    <xf numFmtId="0" fontId="0" fillId="0" borderId="14" xfId="0" applyBorder="1" applyAlignment="1" applyProtection="1">
      <alignment horizontal="center"/>
      <protection locked="0"/>
    </xf>
    <xf numFmtId="0" fontId="2" fillId="0" borderId="14" xfId="0" applyFont="1" applyBorder="1" applyAlignment="1" applyProtection="1">
      <alignment horizontal="center" wrapText="1"/>
      <protection locked="0"/>
    </xf>
    <xf numFmtId="0" fontId="4" fillId="0" borderId="0" xfId="0" applyFont="1" applyAlignment="1">
      <alignment horizontal="center" wrapText="1"/>
    </xf>
    <xf numFmtId="0" fontId="0" fillId="0" borderId="14" xfId="0" applyBorder="1" applyAlignment="1" applyProtection="1">
      <alignment horizontal="center" wrapText="1"/>
      <protection locked="0"/>
    </xf>
    <xf numFmtId="0" fontId="2" fillId="0" borderId="14" xfId="0" applyFont="1" applyBorder="1" applyAlignment="1" applyProtection="1">
      <alignment horizontal="center" vertical="center" wrapText="1"/>
      <protection locked="0"/>
    </xf>
    <xf numFmtId="0" fontId="1" fillId="3" borderId="0" xfId="0" applyFont="1" applyFill="1" applyAlignment="1">
      <alignment horizontal="center"/>
    </xf>
    <xf numFmtId="0" fontId="2" fillId="0" borderId="14" xfId="0" applyFont="1" applyBorder="1" applyAlignment="1" applyProtection="1">
      <alignment horizontal="center"/>
      <protection locked="0"/>
    </xf>
    <xf numFmtId="0" fontId="11" fillId="4" borderId="18" xfId="0" applyFont="1" applyFill="1" applyBorder="1" applyAlignment="1" applyProtection="1">
      <alignment horizontal="center" wrapText="1"/>
      <protection locked="0"/>
    </xf>
    <xf numFmtId="0" fontId="11" fillId="4" borderId="19" xfId="0" applyFont="1" applyFill="1" applyBorder="1" applyAlignment="1" applyProtection="1">
      <alignment horizontal="center" wrapText="1"/>
      <protection locked="0"/>
    </xf>
    <xf numFmtId="0" fontId="5" fillId="4" borderId="17" xfId="0" applyFont="1" applyFill="1" applyBorder="1" applyAlignment="1" applyProtection="1">
      <alignment horizontal="center" vertical="center"/>
      <protection locked="0"/>
    </xf>
    <xf numFmtId="0" fontId="5" fillId="4" borderId="18" xfId="0" applyFont="1" applyFill="1" applyBorder="1" applyAlignment="1" applyProtection="1">
      <alignment horizontal="center" vertical="center"/>
      <protection locked="0"/>
    </xf>
    <xf numFmtId="0" fontId="5" fillId="4" borderId="19" xfId="0" applyFont="1" applyFill="1" applyBorder="1" applyAlignment="1" applyProtection="1">
      <alignment horizontal="center" vertical="center"/>
      <protection locked="0"/>
    </xf>
    <xf numFmtId="9" fontId="2" fillId="0" borderId="41" xfId="1" applyFont="1" applyBorder="1" applyAlignment="1" applyProtection="1">
      <alignment horizontal="center"/>
    </xf>
    <xf numFmtId="9" fontId="2" fillId="0" borderId="42" xfId="1" applyFont="1" applyBorder="1" applyAlignment="1" applyProtection="1">
      <alignment horizontal="center"/>
    </xf>
    <xf numFmtId="9" fontId="2" fillId="0" borderId="43" xfId="1" applyFont="1" applyBorder="1" applyAlignment="1" applyProtection="1">
      <alignment horizontal="center"/>
    </xf>
    <xf numFmtId="0" fontId="2" fillId="0" borderId="21" xfId="0" applyFont="1" applyBorder="1" applyAlignment="1" applyProtection="1">
      <alignment horizontal="center"/>
      <protection locked="0"/>
    </xf>
    <xf numFmtId="0" fontId="2" fillId="0" borderId="22" xfId="0" applyFont="1" applyBorder="1" applyAlignment="1" applyProtection="1">
      <alignment horizontal="center"/>
      <protection locked="0"/>
    </xf>
    <xf numFmtId="0" fontId="0" fillId="4" borderId="48" xfId="0" applyFill="1" applyBorder="1" applyAlignment="1">
      <alignment horizontal="center"/>
    </xf>
    <xf numFmtId="0" fontId="0" fillId="4" borderId="38" xfId="0" applyFill="1" applyBorder="1" applyAlignment="1">
      <alignment horizontal="center"/>
    </xf>
    <xf numFmtId="0" fontId="0" fillId="4" borderId="28" xfId="0" applyFill="1" applyBorder="1" applyAlignment="1">
      <alignment horizontal="center"/>
    </xf>
    <xf numFmtId="0" fontId="3" fillId="0" borderId="51" xfId="0" applyFont="1" applyBorder="1" applyAlignment="1">
      <alignment horizontal="left"/>
    </xf>
    <xf numFmtId="0" fontId="3" fillId="0" borderId="52" xfId="0" applyFont="1" applyBorder="1" applyAlignment="1">
      <alignment horizontal="left"/>
    </xf>
    <xf numFmtId="0" fontId="3" fillId="0" borderId="53" xfId="0" applyFont="1" applyBorder="1" applyAlignment="1">
      <alignment horizontal="left"/>
    </xf>
    <xf numFmtId="0" fontId="0" fillId="0" borderId="25" xfId="0" applyBorder="1" applyAlignment="1" applyProtection="1">
      <alignment horizontal="left"/>
      <protection locked="0"/>
    </xf>
    <xf numFmtId="0" fontId="0" fillId="0" borderId="26" xfId="0" applyBorder="1" applyAlignment="1" applyProtection="1">
      <alignment horizontal="left"/>
      <protection locked="0"/>
    </xf>
    <xf numFmtId="0" fontId="0" fillId="0" borderId="27" xfId="0" applyBorder="1" applyAlignment="1" applyProtection="1">
      <alignment horizontal="left"/>
      <protection locked="0"/>
    </xf>
    <xf numFmtId="0" fontId="1" fillId="6" borderId="41" xfId="0" applyFont="1" applyFill="1" applyBorder="1" applyAlignment="1">
      <alignment horizontal="center" vertical="center"/>
    </xf>
    <xf numFmtId="0" fontId="1" fillId="6" borderId="42" xfId="0" applyFont="1" applyFill="1" applyBorder="1" applyAlignment="1">
      <alignment horizontal="center" vertical="center"/>
    </xf>
    <xf numFmtId="0" fontId="1" fillId="6" borderId="43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6" fillId="5" borderId="17" xfId="0" applyFont="1" applyFill="1" applyBorder="1" applyAlignment="1">
      <alignment horizontal="center" wrapText="1"/>
    </xf>
    <xf numFmtId="0" fontId="6" fillId="5" borderId="18" xfId="0" applyFont="1" applyFill="1" applyBorder="1" applyAlignment="1">
      <alignment horizontal="center" wrapText="1"/>
    </xf>
    <xf numFmtId="0" fontId="6" fillId="5" borderId="19" xfId="0" applyFont="1" applyFill="1" applyBorder="1" applyAlignment="1">
      <alignment horizontal="center" wrapText="1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20" xfId="0" applyBorder="1" applyAlignment="1" applyProtection="1">
      <alignment horizontal="left"/>
      <protection locked="0"/>
    </xf>
    <xf numFmtId="0" fontId="0" fillId="0" borderId="21" xfId="0" applyBorder="1" applyAlignment="1" applyProtection="1">
      <alignment horizontal="left"/>
      <protection locked="0"/>
    </xf>
    <xf numFmtId="0" fontId="0" fillId="0" borderId="22" xfId="0" applyBorder="1" applyAlignment="1" applyProtection="1">
      <alignment horizontal="left"/>
      <protection locked="0"/>
    </xf>
    <xf numFmtId="0" fontId="3" fillId="0" borderId="25" xfId="0" applyFont="1" applyBorder="1" applyAlignment="1">
      <alignment horizontal="left" vertical="center" wrapText="1"/>
    </xf>
    <xf numFmtId="0" fontId="3" fillId="0" borderId="26" xfId="0" applyFont="1" applyBorder="1" applyAlignment="1">
      <alignment horizontal="left" vertical="center" wrapText="1"/>
    </xf>
    <xf numFmtId="0" fontId="3" fillId="0" borderId="27" xfId="0" applyFont="1" applyBorder="1" applyAlignment="1">
      <alignment horizontal="left" vertical="center" wrapText="1"/>
    </xf>
    <xf numFmtId="0" fontId="0" fillId="0" borderId="25" xfId="0" applyBorder="1" applyAlignment="1" applyProtection="1">
      <alignment horizontal="center" vertical="center"/>
      <protection locked="0"/>
    </xf>
    <xf numFmtId="0" fontId="0" fillId="0" borderId="26" xfId="0" applyBorder="1" applyAlignment="1" applyProtection="1">
      <alignment horizontal="center" vertical="center"/>
      <protection locked="0"/>
    </xf>
    <xf numFmtId="0" fontId="1" fillId="6" borderId="26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1" fillId="6" borderId="20" xfId="0" applyFont="1" applyFill="1" applyBorder="1" applyAlignment="1">
      <alignment horizontal="center" vertical="center"/>
    </xf>
    <xf numFmtId="0" fontId="1" fillId="6" borderId="21" xfId="0" applyFont="1" applyFill="1" applyBorder="1" applyAlignment="1">
      <alignment horizontal="center" vertical="center"/>
    </xf>
    <xf numFmtId="0" fontId="1" fillId="6" borderId="22" xfId="0" applyFont="1" applyFill="1" applyBorder="1" applyAlignment="1">
      <alignment horizontal="center" vertical="center"/>
    </xf>
    <xf numFmtId="0" fontId="7" fillId="6" borderId="41" xfId="0" applyFont="1" applyFill="1" applyBorder="1" applyAlignment="1">
      <alignment horizontal="center" vertical="center" wrapText="1"/>
    </xf>
    <xf numFmtId="0" fontId="7" fillId="6" borderId="42" xfId="0" applyFont="1" applyFill="1" applyBorder="1" applyAlignment="1">
      <alignment horizontal="center" vertical="center" wrapText="1"/>
    </xf>
    <xf numFmtId="0" fontId="0" fillId="0" borderId="23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0" borderId="24" xfId="0" applyBorder="1" applyAlignment="1" applyProtection="1">
      <alignment horizontal="center"/>
      <protection locked="0"/>
    </xf>
    <xf numFmtId="0" fontId="3" fillId="0" borderId="20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left" vertical="center" wrapText="1"/>
    </xf>
    <xf numFmtId="0" fontId="3" fillId="0" borderId="22" xfId="0" applyFont="1" applyBorder="1" applyAlignment="1">
      <alignment horizontal="left" vertical="center" wrapText="1"/>
    </xf>
    <xf numFmtId="0" fontId="0" fillId="0" borderId="20" xfId="0" applyBorder="1" applyAlignment="1" applyProtection="1">
      <alignment horizontal="center" vertical="center"/>
      <protection locked="0"/>
    </xf>
    <xf numFmtId="0" fontId="0" fillId="0" borderId="21" xfId="0" applyBorder="1" applyAlignment="1" applyProtection="1">
      <alignment horizontal="center" vertical="center"/>
      <protection locked="0"/>
    </xf>
    <xf numFmtId="0" fontId="1" fillId="6" borderId="28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 textRotation="90"/>
    </xf>
    <xf numFmtId="0" fontId="1" fillId="0" borderId="11" xfId="0" applyFont="1" applyBorder="1" applyAlignment="1">
      <alignment horizontal="center" vertical="center" textRotation="90"/>
    </xf>
    <xf numFmtId="0" fontId="1" fillId="0" borderId="37" xfId="0" applyFont="1" applyBorder="1" applyAlignment="1">
      <alignment horizontal="center" vertical="center" textRotation="90"/>
    </xf>
    <xf numFmtId="0" fontId="1" fillId="0" borderId="0" xfId="0" applyFont="1" applyAlignment="1">
      <alignment horizontal="center" vertical="center" textRotation="90"/>
    </xf>
    <xf numFmtId="0" fontId="1" fillId="0" borderId="32" xfId="0" applyFont="1" applyBorder="1" applyAlignment="1">
      <alignment horizontal="center" vertical="center" textRotation="90"/>
    </xf>
    <xf numFmtId="0" fontId="1" fillId="0" borderId="35" xfId="0" applyFont="1" applyBorder="1" applyAlignment="1">
      <alignment horizontal="center" vertical="center" textRotation="90"/>
    </xf>
    <xf numFmtId="0" fontId="3" fillId="0" borderId="32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33" xfId="0" applyFont="1" applyBorder="1" applyAlignment="1">
      <alignment horizontal="left" vertical="center" wrapText="1"/>
    </xf>
    <xf numFmtId="0" fontId="0" fillId="0" borderId="32" xfId="0" applyBorder="1" applyAlignment="1" applyProtection="1">
      <alignment horizontal="center" vertical="center"/>
      <protection locked="0"/>
    </xf>
    <xf numFmtId="0" fontId="0" fillId="0" borderId="16" xfId="0" applyBorder="1" applyAlignment="1" applyProtection="1">
      <alignment horizontal="center" vertical="center"/>
      <protection locked="0"/>
    </xf>
    <xf numFmtId="0" fontId="1" fillId="6" borderId="16" xfId="0" applyFont="1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2" xfId="0" applyBorder="1" applyAlignment="1" applyProtection="1">
      <alignment horizontal="center"/>
      <protection locked="0"/>
    </xf>
    <xf numFmtId="0" fontId="0" fillId="0" borderId="16" xfId="0" applyBorder="1" applyAlignment="1" applyProtection="1">
      <alignment horizontal="center"/>
      <protection locked="0"/>
    </xf>
    <xf numFmtId="0" fontId="0" fillId="0" borderId="33" xfId="0" applyBorder="1" applyAlignment="1" applyProtection="1">
      <alignment horizontal="center"/>
      <protection locked="0"/>
    </xf>
    <xf numFmtId="0" fontId="0" fillId="0" borderId="57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44" xfId="0" applyBorder="1" applyAlignment="1" applyProtection="1">
      <alignment horizontal="center" vertical="center"/>
      <protection locked="0"/>
    </xf>
    <xf numFmtId="0" fontId="0" fillId="0" borderId="49" xfId="0" applyBorder="1" applyAlignment="1" applyProtection="1">
      <alignment horizontal="center" vertical="center"/>
      <protection locked="0"/>
    </xf>
    <xf numFmtId="0" fontId="1" fillId="0" borderId="47" xfId="0" applyFont="1" applyBorder="1" applyAlignment="1">
      <alignment horizontal="center" vertical="center" textRotation="90"/>
    </xf>
    <xf numFmtId="0" fontId="1" fillId="0" borderId="3" xfId="0" applyFont="1" applyBorder="1" applyAlignment="1">
      <alignment horizontal="center" vertical="center" textRotation="90"/>
    </xf>
    <xf numFmtId="0" fontId="1" fillId="0" borderId="5" xfId="0" applyFont="1" applyBorder="1" applyAlignment="1">
      <alignment horizontal="center" vertical="center" textRotation="90"/>
    </xf>
    <xf numFmtId="0" fontId="1" fillId="0" borderId="36" xfId="0" applyFont="1" applyBorder="1" applyAlignment="1">
      <alignment horizontal="center" vertical="center" textRotation="90"/>
    </xf>
    <xf numFmtId="0" fontId="1" fillId="0" borderId="8" xfId="0" applyFont="1" applyBorder="1" applyAlignment="1">
      <alignment horizontal="center" vertical="center" textRotation="90"/>
    </xf>
    <xf numFmtId="0" fontId="1" fillId="0" borderId="41" xfId="0" applyFont="1" applyBorder="1" applyAlignment="1">
      <alignment horizontal="center" vertical="center" textRotation="90"/>
    </xf>
    <xf numFmtId="0" fontId="1" fillId="0" borderId="34" xfId="0" applyFont="1" applyBorder="1" applyAlignment="1">
      <alignment horizontal="center" vertical="center" textRotation="90"/>
    </xf>
    <xf numFmtId="0" fontId="0" fillId="0" borderId="50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4" xfId="0" applyBorder="1" applyAlignment="1" applyProtection="1">
      <alignment horizontal="center"/>
      <protection locked="0"/>
    </xf>
    <xf numFmtId="0" fontId="0" fillId="0" borderId="45" xfId="0" applyBorder="1" applyAlignment="1" applyProtection="1">
      <alignment horizontal="center"/>
      <protection locked="0"/>
    </xf>
    <xf numFmtId="0" fontId="0" fillId="0" borderId="46" xfId="0" applyBorder="1" applyAlignment="1" applyProtection="1">
      <alignment horizontal="center"/>
      <protection locked="0"/>
    </xf>
    <xf numFmtId="0" fontId="1" fillId="6" borderId="50" xfId="0" applyFont="1" applyFill="1" applyBorder="1" applyAlignment="1">
      <alignment horizontal="center" vertical="center"/>
    </xf>
    <xf numFmtId="0" fontId="1" fillId="6" borderId="49" xfId="0" applyFont="1" applyFill="1" applyBorder="1" applyAlignment="1">
      <alignment horizontal="center" vertical="center"/>
    </xf>
    <xf numFmtId="0" fontId="0" fillId="0" borderId="29" xfId="0" applyBorder="1" applyAlignment="1" applyProtection="1">
      <alignment horizontal="center"/>
      <protection locked="0"/>
    </xf>
    <xf numFmtId="0" fontId="0" fillId="0" borderId="30" xfId="0" applyBorder="1" applyAlignment="1" applyProtection="1">
      <alignment horizontal="center"/>
      <protection locked="0"/>
    </xf>
    <xf numFmtId="0" fontId="0" fillId="0" borderId="31" xfId="0" applyBorder="1" applyAlignment="1" applyProtection="1">
      <alignment horizontal="center"/>
      <protection locked="0"/>
    </xf>
    <xf numFmtId="0" fontId="6" fillId="5" borderId="39" xfId="0" applyFont="1" applyFill="1" applyBorder="1" applyAlignment="1">
      <alignment horizontal="center" wrapText="1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0" xfId="0" applyBorder="1" applyAlignment="1" applyProtection="1">
      <alignment horizontal="center"/>
      <protection locked="0"/>
    </xf>
    <xf numFmtId="0" fontId="0" fillId="0" borderId="21" xfId="0" applyBorder="1" applyAlignment="1" applyProtection="1">
      <alignment horizontal="center"/>
      <protection locked="0"/>
    </xf>
    <xf numFmtId="0" fontId="0" fillId="0" borderId="22" xfId="0" applyBorder="1" applyAlignment="1" applyProtection="1">
      <alignment horizontal="center"/>
      <protection locked="0"/>
    </xf>
    <xf numFmtId="0" fontId="5" fillId="6" borderId="19" xfId="0" applyFont="1" applyFill="1" applyBorder="1" applyAlignment="1">
      <alignment horizontal="center" vertical="center" wrapText="1"/>
    </xf>
    <xf numFmtId="0" fontId="0" fillId="0" borderId="48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59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5" xfId="0" applyBorder="1" applyAlignment="1" applyProtection="1">
      <alignment horizontal="center"/>
      <protection locked="0"/>
    </xf>
    <xf numFmtId="0" fontId="0" fillId="0" borderId="26" xfId="0" applyBorder="1" applyAlignment="1" applyProtection="1">
      <alignment horizontal="center"/>
      <protection locked="0"/>
    </xf>
    <xf numFmtId="0" fontId="0" fillId="0" borderId="27" xfId="0" applyBorder="1" applyAlignment="1" applyProtection="1">
      <alignment horizontal="center"/>
      <protection locked="0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 applyProtection="1">
      <alignment horizontal="left" vertical="top" wrapText="1"/>
      <protection locked="0"/>
    </xf>
    <xf numFmtId="0" fontId="2" fillId="2" borderId="2" xfId="0" applyFont="1" applyFill="1" applyBorder="1" applyAlignment="1" applyProtection="1">
      <alignment horizontal="left" vertical="top" wrapText="1"/>
      <protection locked="0"/>
    </xf>
    <xf numFmtId="0" fontId="2" fillId="2" borderId="3" xfId="0" applyFont="1" applyFill="1" applyBorder="1" applyAlignment="1" applyProtection="1">
      <alignment horizontal="left" vertical="top" wrapText="1"/>
      <protection locked="0"/>
    </xf>
    <xf numFmtId="0" fontId="2" fillId="2" borderId="4" xfId="0" applyFont="1" applyFill="1" applyBorder="1" applyAlignment="1" applyProtection="1">
      <alignment horizontal="left" vertical="top" wrapText="1"/>
      <protection locked="0"/>
    </xf>
    <xf numFmtId="0" fontId="2" fillId="2" borderId="0" xfId="0" applyFont="1" applyFill="1" applyAlignment="1" applyProtection="1">
      <alignment horizontal="left" vertical="top" wrapText="1"/>
      <protection locked="0"/>
    </xf>
    <xf numFmtId="0" fontId="2" fillId="2" borderId="5" xfId="0" applyFont="1" applyFill="1" applyBorder="1" applyAlignment="1" applyProtection="1">
      <alignment horizontal="left" vertical="top" wrapText="1"/>
      <protection locked="0"/>
    </xf>
    <xf numFmtId="0" fontId="2" fillId="2" borderId="6" xfId="0" applyFont="1" applyFill="1" applyBorder="1" applyAlignment="1" applyProtection="1">
      <alignment horizontal="left" vertical="top" wrapText="1"/>
      <protection locked="0"/>
    </xf>
    <xf numFmtId="0" fontId="2" fillId="2" borderId="7" xfId="0" applyFont="1" applyFill="1" applyBorder="1" applyAlignment="1" applyProtection="1">
      <alignment horizontal="left" vertical="top" wrapText="1"/>
      <protection locked="0"/>
    </xf>
    <xf numFmtId="0" fontId="2" fillId="2" borderId="8" xfId="0" applyFont="1" applyFill="1" applyBorder="1" applyAlignment="1" applyProtection="1">
      <alignment horizontal="left" vertical="top" wrapText="1"/>
      <protection locked="0"/>
    </xf>
    <xf numFmtId="0" fontId="1" fillId="6" borderId="48" xfId="0" applyFont="1" applyFill="1" applyBorder="1" applyAlignment="1" applyProtection="1">
      <alignment horizontal="center"/>
      <protection locked="0"/>
    </xf>
    <xf numFmtId="0" fontId="1" fillId="6" borderId="38" xfId="0" applyFont="1" applyFill="1" applyBorder="1" applyAlignment="1" applyProtection="1">
      <alignment horizontal="center"/>
      <protection locked="0"/>
    </xf>
    <xf numFmtId="0" fontId="1" fillId="6" borderId="40" xfId="0" applyFont="1" applyFill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horizontal="left" vertical="top" wrapText="1"/>
      <protection locked="0"/>
    </xf>
    <xf numFmtId="0" fontId="3" fillId="0" borderId="2" xfId="0" applyFont="1" applyBorder="1" applyAlignment="1" applyProtection="1">
      <alignment horizontal="left" vertical="top" wrapText="1"/>
      <protection locked="0"/>
    </xf>
    <xf numFmtId="0" fontId="3" fillId="0" borderId="3" xfId="0" applyFont="1" applyBorder="1" applyAlignment="1" applyProtection="1">
      <alignment horizontal="left" vertical="top" wrapText="1"/>
      <protection locked="0"/>
    </xf>
    <xf numFmtId="0" fontId="3" fillId="0" borderId="4" xfId="0" applyFont="1" applyBorder="1" applyAlignment="1" applyProtection="1">
      <alignment horizontal="left" vertical="top" wrapText="1"/>
      <protection locked="0"/>
    </xf>
    <xf numFmtId="0" fontId="3" fillId="0" borderId="0" xfId="0" applyFont="1" applyAlignment="1" applyProtection="1">
      <alignment horizontal="left" vertical="top" wrapText="1"/>
      <protection locked="0"/>
    </xf>
    <xf numFmtId="0" fontId="3" fillId="0" borderId="5" xfId="0" applyFont="1" applyBorder="1" applyAlignment="1" applyProtection="1">
      <alignment horizontal="left" vertical="top" wrapText="1"/>
      <protection locked="0"/>
    </xf>
    <xf numFmtId="0" fontId="3" fillId="0" borderId="6" xfId="0" applyFont="1" applyBorder="1" applyAlignment="1" applyProtection="1">
      <alignment horizontal="left" vertical="top" wrapText="1"/>
      <protection locked="0"/>
    </xf>
    <xf numFmtId="0" fontId="3" fillId="0" borderId="7" xfId="0" applyFont="1" applyBorder="1" applyAlignment="1" applyProtection="1">
      <alignment horizontal="left" vertical="top" wrapText="1"/>
      <protection locked="0"/>
    </xf>
    <xf numFmtId="0" fontId="3" fillId="0" borderId="8" xfId="0" applyFont="1" applyBorder="1" applyAlignment="1" applyProtection="1">
      <alignment horizontal="left" vertical="top" wrapText="1"/>
      <protection locked="0"/>
    </xf>
    <xf numFmtId="0" fontId="3" fillId="0" borderId="1" xfId="0" applyFont="1" applyBorder="1" applyAlignment="1" applyProtection="1">
      <alignment horizontal="center" vertical="top" wrapText="1"/>
      <protection locked="0"/>
    </xf>
    <xf numFmtId="0" fontId="3" fillId="0" borderId="2" xfId="0" applyFont="1" applyBorder="1" applyAlignment="1" applyProtection="1">
      <alignment horizontal="center" vertical="top" wrapText="1"/>
      <protection locked="0"/>
    </xf>
    <xf numFmtId="0" fontId="3" fillId="0" borderId="3" xfId="0" applyFont="1" applyBorder="1" applyAlignment="1" applyProtection="1">
      <alignment horizontal="center" vertical="top" wrapText="1"/>
      <protection locked="0"/>
    </xf>
    <xf numFmtId="0" fontId="3" fillId="0" borderId="4" xfId="0" applyFont="1" applyBorder="1" applyAlignment="1" applyProtection="1">
      <alignment horizontal="center" vertical="top" wrapText="1"/>
      <protection locked="0"/>
    </xf>
    <xf numFmtId="0" fontId="3" fillId="0" borderId="0" xfId="0" applyFont="1" applyAlignment="1" applyProtection="1">
      <alignment horizontal="center" vertical="top" wrapText="1"/>
      <protection locked="0"/>
    </xf>
    <xf numFmtId="0" fontId="3" fillId="0" borderId="5" xfId="0" applyFont="1" applyBorder="1" applyAlignment="1" applyProtection="1">
      <alignment horizontal="center" vertical="top" wrapText="1"/>
      <protection locked="0"/>
    </xf>
    <xf numFmtId="0" fontId="3" fillId="0" borderId="6" xfId="0" applyFont="1" applyBorder="1" applyAlignment="1" applyProtection="1">
      <alignment horizontal="center" vertical="top" wrapText="1"/>
      <protection locked="0"/>
    </xf>
    <xf numFmtId="0" fontId="3" fillId="0" borderId="7" xfId="0" applyFont="1" applyBorder="1" applyAlignment="1" applyProtection="1">
      <alignment horizontal="center" vertical="top" wrapText="1"/>
      <protection locked="0"/>
    </xf>
    <xf numFmtId="0" fontId="3" fillId="0" borderId="8" xfId="0" applyFont="1" applyBorder="1" applyAlignment="1" applyProtection="1">
      <alignment horizontal="center" vertical="top" wrapText="1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2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5" xfId="0" applyFont="1" applyBorder="1" applyAlignment="1" applyProtection="1">
      <alignment horizontal="left" vertical="top"/>
      <protection locked="0"/>
    </xf>
    <xf numFmtId="0" fontId="3" fillId="0" borderId="6" xfId="0" applyFont="1" applyBorder="1" applyAlignment="1" applyProtection="1">
      <alignment horizontal="left" vertical="top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 vertical="top" wrapText="1"/>
      <protection locked="0"/>
    </xf>
    <xf numFmtId="0" fontId="3" fillId="2" borderId="2" xfId="0" applyFont="1" applyFill="1" applyBorder="1" applyAlignment="1" applyProtection="1">
      <alignment horizontal="center" vertical="top" wrapText="1"/>
      <protection locked="0"/>
    </xf>
    <xf numFmtId="0" fontId="3" fillId="2" borderId="3" xfId="0" applyFont="1" applyFill="1" applyBorder="1" applyAlignment="1" applyProtection="1">
      <alignment horizontal="center" vertical="top" wrapText="1"/>
      <protection locked="0"/>
    </xf>
    <xf numFmtId="0" fontId="3" fillId="2" borderId="4" xfId="0" applyFont="1" applyFill="1" applyBorder="1" applyAlignment="1" applyProtection="1">
      <alignment horizontal="center" vertical="top" wrapText="1"/>
      <protection locked="0"/>
    </xf>
    <xf numFmtId="0" fontId="3" fillId="2" borderId="0" xfId="0" applyFont="1" applyFill="1" applyAlignment="1" applyProtection="1">
      <alignment horizontal="center" vertical="top" wrapText="1"/>
      <protection locked="0"/>
    </xf>
    <xf numFmtId="0" fontId="3" fillId="2" borderId="5" xfId="0" applyFont="1" applyFill="1" applyBorder="1" applyAlignment="1" applyProtection="1">
      <alignment horizontal="center" vertical="top" wrapText="1"/>
      <protection locked="0"/>
    </xf>
    <xf numFmtId="0" fontId="3" fillId="2" borderId="6" xfId="0" applyFont="1" applyFill="1" applyBorder="1" applyAlignment="1" applyProtection="1">
      <alignment horizontal="center" vertical="top" wrapText="1"/>
      <protection locked="0"/>
    </xf>
    <xf numFmtId="0" fontId="3" fillId="2" borderId="7" xfId="0" applyFont="1" applyFill="1" applyBorder="1" applyAlignment="1" applyProtection="1">
      <alignment horizontal="center" vertical="top" wrapText="1"/>
      <protection locked="0"/>
    </xf>
    <xf numFmtId="0" fontId="3" fillId="2" borderId="8" xfId="0" applyFont="1" applyFill="1" applyBorder="1" applyAlignment="1" applyProtection="1">
      <alignment horizontal="center" vertical="top" wrapText="1"/>
      <protection locked="0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Compromiso</a:t>
            </a:r>
            <a:r>
              <a:rPr lang="es-CO" baseline="0"/>
              <a:t> y Liderazgo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Items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'Diagnóstico '!$A$104:$S$110</c:f>
              <c:strCache>
                <c:ptCount val="7"/>
                <c:pt idx="0">
                  <c:v>Existe una política  de seguridad documentada en izajes  de cargas </c:v>
                </c:pt>
                <c:pt idx="1">
                  <c:v>La política es conocida por el personal involucrado en los procesos de izaje</c:v>
                </c:pt>
                <c:pt idx="2">
                  <c:v>Se tiene asignado  presupuesto para el desarrollo de las actividades de izaje</c:v>
                </c:pt>
                <c:pt idx="3">
                  <c:v>El presupuesto garantiza que los equipos de izaje son idóneos y conservan su integridad operacional.</c:v>
                </c:pt>
                <c:pt idx="4">
                  <c:v>El presupuesto garantiza que las operaciones del izaje se realicen por personal competente</c:v>
                </c:pt>
                <c:pt idx="5">
                  <c:v>Se ha asignado un líder responsable para la implementación del Sistema de control de izajes</c:v>
                </c:pt>
                <c:pt idx="6">
                  <c:v>Se  generan mecanismo y control cumplimiento de aspectos legales y contractuales</c:v>
                </c:pt>
              </c:strCache>
            </c:strRef>
          </c:cat>
          <c:val>
            <c:numRef>
              <c:f>'Diagnóstico '!$T$104:$T$110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CA-4680-93FC-62B139B9B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4450552"/>
        <c:axId val="284450160"/>
      </c:barChart>
      <c:lineChart>
        <c:grouping val="standard"/>
        <c:varyColors val="0"/>
        <c:ser>
          <c:idx val="1"/>
          <c:order val="1"/>
          <c:tx>
            <c:v>Promedio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'Diagnóstico '!$U$104:$U$110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CA-4680-93FC-62B139B9B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4450552"/>
        <c:axId val="284450160"/>
      </c:lineChart>
      <c:catAx>
        <c:axId val="284450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84450160"/>
        <c:crosses val="autoZero"/>
        <c:auto val="1"/>
        <c:lblAlgn val="ctr"/>
        <c:lblOffset val="100"/>
        <c:noMultiLvlLbl val="0"/>
      </c:catAx>
      <c:valAx>
        <c:axId val="28445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84450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Competencias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Items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'Diagnóstico '!$A$119:$S$130</c:f>
              <c:strCache>
                <c:ptCount val="12"/>
                <c:pt idx="0">
                  <c:v>Se identifica y documentan  Roles y Responsabilidades del personal involucrado en izaje de cargas</c:v>
                </c:pt>
                <c:pt idx="1">
                  <c:v>Se han determinado los requisitos del perfil de cargo para el personal involucrado  en izaje de cargas</c:v>
                </c:pt>
                <c:pt idx="2">
                  <c:v>El personal asignando al izaje de cargas  y en operación actual cumple con el perfil definido por al empresa.  </c:v>
                </c:pt>
                <c:pt idx="3">
                  <c:v>El personal conoce sus funciones y responsabilidades generales y especificas asociadas a las labores de izajes carga</c:v>
                </c:pt>
                <c:pt idx="4">
                  <c:v>La empresa realiza evaluaciones de desempeño Teórico prácticas periódicas al personal  responsable del proceso de izaje</c:v>
                </c:pt>
                <c:pt idx="5">
                  <c:v>Los resultados de la evaluaciones de desempeño son socializados al personal</c:v>
                </c:pt>
                <c:pt idx="6">
                  <c:v>Se establecen planes de acción basados en los resultados de las evaluaciones de desempeño</c:v>
                </c:pt>
                <c:pt idx="7">
                  <c:v>La empresa ha establecido y desarrollado un programa de capacitación y enteramiento en izaje de cargas, con cobertura a todo el personal involucrado en las operaciones de izajes.</c:v>
                </c:pt>
                <c:pt idx="8">
                  <c:v>La empresa cuenta con un procedimiento interno para la evaluación del personal involucrado en actividades de izaje de cargas</c:v>
                </c:pt>
                <c:pt idx="9">
                  <c:v>El personal asignado como  operadores de equipos de izaje, cuentan con certificación de competencias emitido por entes acreditados por ONAC </c:v>
                </c:pt>
                <c:pt idx="10">
                  <c:v>El personal asignados como aparejadores cuentan con certificación de competencias emitido por entes acreditados por ONAC </c:v>
                </c:pt>
                <c:pt idx="11">
                  <c:v>el personal asigando como supervisores  en izaje de carga con grúas cuentan con Certificación de competencias emitido por entes acreditados por ONAC </c:v>
                </c:pt>
              </c:strCache>
            </c:strRef>
          </c:cat>
          <c:val>
            <c:numRef>
              <c:f>'Diagnóstico '!$T$119:$T$130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48-4422-AC01-2AA0321166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4448984"/>
        <c:axId val="284449768"/>
      </c:barChart>
      <c:lineChart>
        <c:grouping val="standard"/>
        <c:varyColors val="0"/>
        <c:ser>
          <c:idx val="1"/>
          <c:order val="1"/>
          <c:tx>
            <c:v>Promedio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'Diagnóstico '!$U$119:$U$130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48-4422-AC01-2AA0321166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4448984"/>
        <c:axId val="284449768"/>
      </c:lineChart>
      <c:catAx>
        <c:axId val="284448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84449768"/>
        <c:crosses val="autoZero"/>
        <c:auto val="1"/>
        <c:lblAlgn val="ctr"/>
        <c:lblOffset val="100"/>
        <c:noMultiLvlLbl val="0"/>
      </c:catAx>
      <c:valAx>
        <c:axId val="284449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84448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chemeClr val="tx1"/>
                </a:solidFill>
              </a:rPr>
              <a:t>Integridad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Item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'Diagnóstico '!$A$140:$S$148</c:f>
              <c:strCache>
                <c:ptCount val="9"/>
                <c:pt idx="0">
                  <c:v>La empresa ha establecido  un programa de inspecciones pre operacionales  en donde se cubran todos los equipos y elementos de izaje  de uso y en uso por la empresa?</c:v>
                </c:pt>
                <c:pt idx="1">
                  <c:v>El personal involucrado ( operador - mecanicos - supervisores ) en las operaciones de izaje de cargas conoce el programa de inspección</c:v>
                </c:pt>
                <c:pt idx="2">
                  <c:v>Se observa registros de inspecciones pre-operacionales de los equipos de izaje en operación al momento de este diagnóstico</c:v>
                </c:pt>
                <c:pt idx="3">
                  <c:v>Frente a los hallazgos de las inspecciones pre operacionales se observa planes de acción de cierre y prevención de recurrencia de hallazgos</c:v>
                </c:pt>
                <c:pt idx="4">
                  <c:v>La empresa cuenta con un programa de  Mantenimiento Preventivo para  todos los equipos de izajes y accesorios.</c:v>
                </c:pt>
                <c:pt idx="5">
                  <c:v>Se observan registros de control o hoja de vida individual de los equipos de izaje en donde se evidencie las intervenciones por mantenimiento o reparación</c:v>
                </c:pt>
                <c:pt idx="6">
                  <c:v>Los equipos de izaje de carga se encuentran con certificados de inspección emitido por entidades acreditadas por ONAC</c:v>
                </c:pt>
                <c:pt idx="7">
                  <c:v>La empresa cuenta con algún mecanismo que garantice la no operación de equipos reportados como defectuosos</c:v>
                </c:pt>
                <c:pt idx="8">
                  <c:v>La empresa cuenta con algún mecanismo de aceptación (inspección) para recibir en operación los equipos   que son liberados de actividades de mantenimiento o reparación.</c:v>
                </c:pt>
              </c:strCache>
            </c:strRef>
          </c:cat>
          <c:val>
            <c:numRef>
              <c:f>'Diagnóstico '!$T$140:$T$148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F3-43EC-82A2-BB691D8494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5035680"/>
        <c:axId val="285034504"/>
      </c:barChart>
      <c:lineChart>
        <c:grouping val="standard"/>
        <c:varyColors val="0"/>
        <c:ser>
          <c:idx val="1"/>
          <c:order val="1"/>
          <c:tx>
            <c:v>Promedio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'Diagnóstico '!$U$140:$U$148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F3-43EC-82A2-BB691D8494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5035680"/>
        <c:axId val="285034504"/>
      </c:lineChart>
      <c:catAx>
        <c:axId val="285035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85034504"/>
        <c:crosses val="autoZero"/>
        <c:auto val="1"/>
        <c:lblAlgn val="ctr"/>
        <c:lblOffset val="100"/>
        <c:noMultiLvlLbl val="0"/>
      </c:catAx>
      <c:valAx>
        <c:axId val="285034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85035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Procedimiento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Item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'Diagnóstico '!$A$161:$S$166</c:f>
              <c:strCache>
                <c:ptCount val="6"/>
                <c:pt idx="0">
                  <c:v>La empresa cuenta con procedimientos seguros de operación para cada uno de los equipos de izaje de cargas y son actualizados periódicamente</c:v>
                </c:pt>
                <c:pt idx="1">
                  <c:v>La empresa cuenta con procedimientos seguros de operación para cada uno de los elementos de izaje de  cargas y son actualizados periódicamente</c:v>
                </c:pt>
                <c:pt idx="2">
                  <c:v>El personal involucrado en las operaciones de izajes conoce y aplica los procedimientos</c:v>
                </c:pt>
                <c:pt idx="3">
                  <c:v>La empresa para el desarrollo de las actividades de izaje ha establecido y pone en práctica un plan de izaje documentado</c:v>
                </c:pt>
                <c:pt idx="4">
                  <c:v>El o los  planes de izaje rutinarios se observan revisados y firmados por el líder o supervisor de izaje.</c:v>
                </c:pt>
                <c:pt idx="5">
                  <c:v>El o los  planes de izaje criticos   se encuentran revisados y firmados por el líder o supervisor  de izaje y  la máxima autoridad en el área.</c:v>
                </c:pt>
              </c:strCache>
            </c:strRef>
          </c:cat>
          <c:val>
            <c:numRef>
              <c:f>'Diagnóstico '!$T$161:$T$166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03-4291-98B7-5BDED6B6F5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8597480"/>
        <c:axId val="288598656"/>
      </c:barChart>
      <c:lineChart>
        <c:grouping val="standard"/>
        <c:varyColors val="0"/>
        <c:ser>
          <c:idx val="1"/>
          <c:order val="1"/>
          <c:tx>
            <c:v>Promedio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'Diagnóstico '!$U$161:$U$166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03-4291-98B7-5BDED6B6F5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8597480"/>
        <c:axId val="288598656"/>
      </c:lineChart>
      <c:catAx>
        <c:axId val="288597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88598656"/>
        <c:crosses val="autoZero"/>
        <c:auto val="1"/>
        <c:lblAlgn val="ctr"/>
        <c:lblOffset val="100"/>
        <c:noMultiLvlLbl val="0"/>
      </c:catAx>
      <c:valAx>
        <c:axId val="28859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88597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Controles</a:t>
            </a:r>
          </a:p>
        </c:rich>
      </c:tx>
      <c:layout>
        <c:manualLayout>
          <c:xMode val="edge"/>
          <c:yMode val="edge"/>
          <c:x val="0.35968044619422573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Items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'Diagnóstico '!$A$183:$S$188</c:f>
              <c:strCache>
                <c:ptCount val="6"/>
                <c:pt idx="0">
                  <c:v>La empresa realiza auditorias de control documentales y de campo a los procesos de izaje de cargas</c:v>
                </c:pt>
                <c:pt idx="1">
                  <c:v>La empresa gestiona los hallazgos de auditorias e inspecciones </c:v>
                </c:pt>
                <c:pt idx="2">
                  <c:v>La empresa ha definido un mecanismo para identificar y controlar operaciones criticas de izajes </c:v>
                </c:pt>
                <c:pt idx="3">
                  <c:v>La empresa cuenta con un mecanismo de control documental para gestión de la información de las operaciones de izajes, sus equipos y herramientas y personal que permita su archivo su conservación y su recuperación en tiempo real.</c:v>
                </c:pt>
                <c:pt idx="4">
                  <c:v>La empresa cuenta con mecanismo de control y filtro para la gestión de contratistas, proveedores y compras asociadas a las operaciones de izajes</c:v>
                </c:pt>
                <c:pt idx="5">
                  <c:v>La empresa verifica la implementación de controles planteados en la matriz de peligros  para las operaciones de izajes.</c:v>
                </c:pt>
              </c:strCache>
            </c:strRef>
          </c:cat>
          <c:val>
            <c:numRef>
              <c:f>'Diagnóstico '!$T$183:$T$188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8E-4021-9755-DB344E2E4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8599048"/>
        <c:axId val="288600616"/>
      </c:barChart>
      <c:lineChart>
        <c:grouping val="standard"/>
        <c:varyColors val="0"/>
        <c:ser>
          <c:idx val="1"/>
          <c:order val="1"/>
          <c:tx>
            <c:v>Promedio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'Diagnóstico '!$U$183:$U$188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8E-4021-9755-DB344E2E4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8599048"/>
        <c:axId val="288600616"/>
      </c:lineChart>
      <c:catAx>
        <c:axId val="288599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88600616"/>
        <c:crosses val="autoZero"/>
        <c:auto val="1"/>
        <c:lblAlgn val="ctr"/>
        <c:lblOffset val="100"/>
        <c:noMultiLvlLbl val="0"/>
      </c:catAx>
      <c:valAx>
        <c:axId val="288600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88599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>
                <a:solidFill>
                  <a:schemeClr val="tx1"/>
                </a:solidFill>
              </a:rPr>
              <a:t>Estado</a:t>
            </a:r>
            <a:r>
              <a:rPr lang="es-CO" b="1" baseline="0">
                <a:solidFill>
                  <a:schemeClr val="tx1"/>
                </a:solidFill>
              </a:rPr>
              <a:t> General Sisitema de</a:t>
            </a:r>
          </a:p>
          <a:p>
            <a:pPr>
              <a:defRPr/>
            </a:pPr>
            <a:r>
              <a:rPr lang="es-CO" b="1" baseline="0">
                <a:solidFill>
                  <a:schemeClr val="tx1"/>
                </a:solidFill>
              </a:rPr>
              <a:t> Aseguramiento de Izajes</a:t>
            </a:r>
            <a:endParaRPr lang="es-CO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4.8906048906049006E-4"/>
          <c:y val="1.7412392141078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30387823143728654"/>
          <c:y val="0.2410008972520607"/>
          <c:w val="0.4150747372794617"/>
          <c:h val="0.70229243708753664"/>
        </c:manualLayout>
      </c:layout>
      <c:radarChart>
        <c:radarStyle val="marker"/>
        <c:varyColors val="0"/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'Diagnóstico '!$A$205:$A$209</c:f>
              <c:strCache>
                <c:ptCount val="5"/>
                <c:pt idx="0">
                  <c:v>COMPROMISO GERENCIAL</c:v>
                </c:pt>
                <c:pt idx="1">
                  <c:v>COMPETENCIAS</c:v>
                </c:pt>
                <c:pt idx="2">
                  <c:v>INTEGRIDAD OPERACIONAL</c:v>
                </c:pt>
                <c:pt idx="3">
                  <c:v>PROCEDIMIENTOS</c:v>
                </c:pt>
                <c:pt idx="4">
                  <c:v>CONTROLES OPERACIONALES</c:v>
                </c:pt>
              </c:strCache>
            </c:strRef>
          </c:cat>
          <c:val>
            <c:numRef>
              <c:f>'Diagnóstico '!$N$205:$N$209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BB-4AA1-83F3-1D8C7B4F90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356824"/>
        <c:axId val="199358784"/>
        <c:extLst>
          <c:ext xmlns:c15="http://schemas.microsoft.com/office/drawing/2012/chart" uri="{02D57815-91ED-43cb-92C2-25804820EDAC}">
            <c15:filteredRadar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'Diagnóstico '!$A$205:$A$209</c15:sqref>
                        </c15:formulaRef>
                      </c:ext>
                    </c:extLst>
                    <c:strCache>
                      <c:ptCount val="5"/>
                      <c:pt idx="0">
                        <c:v>COMPROMISO GERENCIAL</c:v>
                      </c:pt>
                      <c:pt idx="1">
                        <c:v>COMPETENCIAS</c:v>
                      </c:pt>
                      <c:pt idx="2">
                        <c:v>INTEGRIDAD OPERACIONAL</c:v>
                      </c:pt>
                      <c:pt idx="3">
                        <c:v>PROCEDIMIENTOS</c:v>
                      </c:pt>
                      <c:pt idx="4">
                        <c:v>CONTROLES OPERACIONALES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'Diagnóstico '!$B$205:$B$209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4BB-4AA1-83F3-1D8C7B4F902F}"/>
                  </c:ext>
                </c:extLst>
              </c15:ser>
            </c15:filteredRadarSeries>
            <c15:filteredRadarSeries>
              <c15:ser>
                <c:idx val="1"/>
                <c:order val="1"/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'Diagnóstico '!$A$205:$A$209</c15:sqref>
                        </c15:formulaRef>
                      </c:ext>
                    </c:extLst>
                    <c:strCache>
                      <c:ptCount val="5"/>
                      <c:pt idx="0">
                        <c:v>COMPROMISO GERENCIAL</c:v>
                      </c:pt>
                      <c:pt idx="1">
                        <c:v>COMPETENCIAS</c:v>
                      </c:pt>
                      <c:pt idx="2">
                        <c:v>INTEGRIDAD OPERACIONAL</c:v>
                      </c:pt>
                      <c:pt idx="3">
                        <c:v>PROCEDIMIENTOS</c:v>
                      </c:pt>
                      <c:pt idx="4">
                        <c:v>CONTROLES OPERACIONALES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'Diagnóstico '!$C$205:$C$209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4BB-4AA1-83F3-1D8C7B4F902F}"/>
                  </c:ext>
                </c:extLst>
              </c15:ser>
            </c15:filteredRadarSeries>
            <c15:filteredRadarSeries>
              <c15:ser>
                <c:idx val="2"/>
                <c:order val="2"/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'Diagnóstico '!$A$205:$A$209</c15:sqref>
                        </c15:formulaRef>
                      </c:ext>
                    </c:extLst>
                    <c:strCache>
                      <c:ptCount val="5"/>
                      <c:pt idx="0">
                        <c:v>COMPROMISO GERENCIAL</c:v>
                      </c:pt>
                      <c:pt idx="1">
                        <c:v>COMPETENCIAS</c:v>
                      </c:pt>
                      <c:pt idx="2">
                        <c:v>INTEGRIDAD OPERACIONAL</c:v>
                      </c:pt>
                      <c:pt idx="3">
                        <c:v>PROCEDIMIENTOS</c:v>
                      </c:pt>
                      <c:pt idx="4">
                        <c:v>CONTROLES OPERACIONALES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'Diagnóstico '!$D$205:$D$209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4BB-4AA1-83F3-1D8C7B4F902F}"/>
                  </c:ext>
                </c:extLst>
              </c15:ser>
            </c15:filteredRadarSeries>
            <c15:filteredRadarSeries>
              <c15:ser>
                <c:idx val="3"/>
                <c:order val="3"/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'Diagnóstico '!$A$205:$A$209</c15:sqref>
                        </c15:formulaRef>
                      </c:ext>
                    </c:extLst>
                    <c:strCache>
                      <c:ptCount val="5"/>
                      <c:pt idx="0">
                        <c:v>COMPROMISO GERENCIAL</c:v>
                      </c:pt>
                      <c:pt idx="1">
                        <c:v>COMPETENCIAS</c:v>
                      </c:pt>
                      <c:pt idx="2">
                        <c:v>INTEGRIDAD OPERACIONAL</c:v>
                      </c:pt>
                      <c:pt idx="3">
                        <c:v>PROCEDIMIENTOS</c:v>
                      </c:pt>
                      <c:pt idx="4">
                        <c:v>CONTROLES OPERACIONALES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'Diagnóstico '!$E$205:$E$209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4BB-4AA1-83F3-1D8C7B4F902F}"/>
                  </c:ext>
                </c:extLst>
              </c15:ser>
            </c15:filteredRadarSeries>
            <c15:filteredRadarSeries>
              <c15:ser>
                <c:idx val="4"/>
                <c:order val="4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'Diagnóstico '!$A$205:$A$209</c15:sqref>
                        </c15:formulaRef>
                      </c:ext>
                    </c:extLst>
                    <c:strCache>
                      <c:ptCount val="5"/>
                      <c:pt idx="0">
                        <c:v>COMPROMISO GERENCIAL</c:v>
                      </c:pt>
                      <c:pt idx="1">
                        <c:v>COMPETENCIAS</c:v>
                      </c:pt>
                      <c:pt idx="2">
                        <c:v>INTEGRIDAD OPERACIONAL</c:v>
                      </c:pt>
                      <c:pt idx="3">
                        <c:v>PROCEDIMIENTOS</c:v>
                      </c:pt>
                      <c:pt idx="4">
                        <c:v>CONTROLES OPERACIONALES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'Diagnóstico '!$F$205:$F$209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4BB-4AA1-83F3-1D8C7B4F902F}"/>
                  </c:ext>
                </c:extLst>
              </c15:ser>
            </c15:filteredRadarSeries>
            <c15:filteredRadarSeries>
              <c15:ser>
                <c:idx val="5"/>
                <c:order val="5"/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'Diagnóstico '!$A$205:$A$209</c15:sqref>
                        </c15:formulaRef>
                      </c:ext>
                    </c:extLst>
                    <c:strCache>
                      <c:ptCount val="5"/>
                      <c:pt idx="0">
                        <c:v>COMPROMISO GERENCIAL</c:v>
                      </c:pt>
                      <c:pt idx="1">
                        <c:v>COMPETENCIAS</c:v>
                      </c:pt>
                      <c:pt idx="2">
                        <c:v>INTEGRIDAD OPERACIONAL</c:v>
                      </c:pt>
                      <c:pt idx="3">
                        <c:v>PROCEDIMIENTOS</c:v>
                      </c:pt>
                      <c:pt idx="4">
                        <c:v>CONTROLES OPERACIONALES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'Diagnóstico '!$G$205:$G$209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4BB-4AA1-83F3-1D8C7B4F902F}"/>
                  </c:ext>
                </c:extLst>
              </c15:ser>
            </c15:filteredRadarSeries>
            <c15:filteredRadarSeries>
              <c15:ser>
                <c:idx val="6"/>
                <c:order val="6"/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'Diagnóstico '!$A$205:$A$209</c15:sqref>
                        </c15:formulaRef>
                      </c:ext>
                    </c:extLst>
                    <c:strCache>
                      <c:ptCount val="5"/>
                      <c:pt idx="0">
                        <c:v>COMPROMISO GERENCIAL</c:v>
                      </c:pt>
                      <c:pt idx="1">
                        <c:v>COMPETENCIAS</c:v>
                      </c:pt>
                      <c:pt idx="2">
                        <c:v>INTEGRIDAD OPERACIONAL</c:v>
                      </c:pt>
                      <c:pt idx="3">
                        <c:v>PROCEDIMIENTOS</c:v>
                      </c:pt>
                      <c:pt idx="4">
                        <c:v>CONTROLES OPERACIONALES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'Diagnóstico '!$H$205:$H$209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64BB-4AA1-83F3-1D8C7B4F902F}"/>
                  </c:ext>
                </c:extLst>
              </c15:ser>
            </c15:filteredRadarSeries>
            <c15:filteredRadarSeries>
              <c15:ser>
                <c:idx val="7"/>
                <c:order val="7"/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'Diagnóstico '!$A$205:$A$209</c15:sqref>
                        </c15:formulaRef>
                      </c:ext>
                    </c:extLst>
                    <c:strCache>
                      <c:ptCount val="5"/>
                      <c:pt idx="0">
                        <c:v>COMPROMISO GERENCIAL</c:v>
                      </c:pt>
                      <c:pt idx="1">
                        <c:v>COMPETENCIAS</c:v>
                      </c:pt>
                      <c:pt idx="2">
                        <c:v>INTEGRIDAD OPERACIONAL</c:v>
                      </c:pt>
                      <c:pt idx="3">
                        <c:v>PROCEDIMIENTOS</c:v>
                      </c:pt>
                      <c:pt idx="4">
                        <c:v>CONTROLES OPERACIONALES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'Diagnóstico '!$I$205:$I$209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64BB-4AA1-83F3-1D8C7B4F902F}"/>
                  </c:ext>
                </c:extLst>
              </c15:ser>
            </c15:filteredRadarSeries>
            <c15:filteredRadarSeries>
              <c15:ser>
                <c:idx val="8"/>
                <c:order val="8"/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'Diagnóstico '!$A$205:$A$209</c15:sqref>
                        </c15:formulaRef>
                      </c:ext>
                    </c:extLst>
                    <c:strCache>
                      <c:ptCount val="5"/>
                      <c:pt idx="0">
                        <c:v>COMPROMISO GERENCIAL</c:v>
                      </c:pt>
                      <c:pt idx="1">
                        <c:v>COMPETENCIAS</c:v>
                      </c:pt>
                      <c:pt idx="2">
                        <c:v>INTEGRIDAD OPERACIONAL</c:v>
                      </c:pt>
                      <c:pt idx="3">
                        <c:v>PROCEDIMIENTOS</c:v>
                      </c:pt>
                      <c:pt idx="4">
                        <c:v>CONTROLES OPERACIONALES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'Diagnóstico '!$J$205:$J$209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64BB-4AA1-83F3-1D8C7B4F902F}"/>
                  </c:ext>
                </c:extLst>
              </c15:ser>
            </c15:filteredRadarSeries>
            <c15:filteredRadarSeries>
              <c15:ser>
                <c:idx val="9"/>
                <c:order val="9"/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'Diagnóstico '!$A$205:$A$209</c15:sqref>
                        </c15:formulaRef>
                      </c:ext>
                    </c:extLst>
                    <c:strCache>
                      <c:ptCount val="5"/>
                      <c:pt idx="0">
                        <c:v>COMPROMISO GERENCIAL</c:v>
                      </c:pt>
                      <c:pt idx="1">
                        <c:v>COMPETENCIAS</c:v>
                      </c:pt>
                      <c:pt idx="2">
                        <c:v>INTEGRIDAD OPERACIONAL</c:v>
                      </c:pt>
                      <c:pt idx="3">
                        <c:v>PROCEDIMIENTOS</c:v>
                      </c:pt>
                      <c:pt idx="4">
                        <c:v>CONTROLES OPERACIONALES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'Diagnóstico '!$K$205:$K$209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64BB-4AA1-83F3-1D8C7B4F902F}"/>
                  </c:ext>
                </c:extLst>
              </c15:ser>
            </c15:filteredRadarSeries>
            <c15:filteredRadarSeries>
              <c15:ser>
                <c:idx val="10"/>
                <c:order val="10"/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'Diagnóstico '!$A$205:$A$209</c15:sqref>
                        </c15:formulaRef>
                      </c:ext>
                    </c:extLst>
                    <c:strCache>
                      <c:ptCount val="5"/>
                      <c:pt idx="0">
                        <c:v>COMPROMISO GERENCIAL</c:v>
                      </c:pt>
                      <c:pt idx="1">
                        <c:v>COMPETENCIAS</c:v>
                      </c:pt>
                      <c:pt idx="2">
                        <c:v>INTEGRIDAD OPERACIONAL</c:v>
                      </c:pt>
                      <c:pt idx="3">
                        <c:v>PROCEDIMIENTOS</c:v>
                      </c:pt>
                      <c:pt idx="4">
                        <c:v>CONTROLES OPERACIONALES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'Diagnóstico '!$L$205:$L$209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64BB-4AA1-83F3-1D8C7B4F902F}"/>
                  </c:ext>
                </c:extLst>
              </c15:ser>
            </c15:filteredRadarSeries>
            <c15:filteredRadarSeries>
              <c15:ser>
                <c:idx val="11"/>
                <c:order val="11"/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'Diagnóstico '!$A$205:$A$209</c15:sqref>
                        </c15:formulaRef>
                      </c:ext>
                    </c:extLst>
                    <c:strCache>
                      <c:ptCount val="5"/>
                      <c:pt idx="0">
                        <c:v>COMPROMISO GERENCIAL</c:v>
                      </c:pt>
                      <c:pt idx="1">
                        <c:v>COMPETENCIAS</c:v>
                      </c:pt>
                      <c:pt idx="2">
                        <c:v>INTEGRIDAD OPERACIONAL</c:v>
                      </c:pt>
                      <c:pt idx="3">
                        <c:v>PROCEDIMIENTOS</c:v>
                      </c:pt>
                      <c:pt idx="4">
                        <c:v>CONTROLES OPERACIONALES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'Diagnóstico '!$M$205:$M$209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64BB-4AA1-83F3-1D8C7B4F902F}"/>
                  </c:ext>
                </c:extLst>
              </c15:ser>
            </c15:filteredRadarSeries>
          </c:ext>
        </c:extLst>
      </c:radarChart>
      <c:catAx>
        <c:axId val="199356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9358784"/>
        <c:crosses val="autoZero"/>
        <c:auto val="1"/>
        <c:lblAlgn val="ctr"/>
        <c:lblOffset val="100"/>
        <c:noMultiLvlLbl val="0"/>
      </c:catAx>
      <c:valAx>
        <c:axId val="19935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9356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9</xdr:col>
      <xdr:colOff>57150</xdr:colOff>
      <xdr:row>1</xdr:row>
      <xdr:rowOff>152400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1685925" cy="34289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96</xdr:row>
      <xdr:rowOff>23812</xdr:rowOff>
    </xdr:from>
    <xdr:to>
      <xdr:col>25</xdr:col>
      <xdr:colOff>152400</xdr:colOff>
      <xdr:row>115</xdr:row>
      <xdr:rowOff>171450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117</xdr:row>
      <xdr:rowOff>4762</xdr:rowOff>
    </xdr:from>
    <xdr:to>
      <xdr:col>25</xdr:col>
      <xdr:colOff>142874</xdr:colOff>
      <xdr:row>136</xdr:row>
      <xdr:rowOff>95250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138</xdr:row>
      <xdr:rowOff>23812</xdr:rowOff>
    </xdr:from>
    <xdr:to>
      <xdr:col>25</xdr:col>
      <xdr:colOff>85725</xdr:colOff>
      <xdr:row>157</xdr:row>
      <xdr:rowOff>95250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159</xdr:row>
      <xdr:rowOff>33337</xdr:rowOff>
    </xdr:from>
    <xdr:to>
      <xdr:col>25</xdr:col>
      <xdr:colOff>142874</xdr:colOff>
      <xdr:row>179</xdr:row>
      <xdr:rowOff>123825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19050</xdr:colOff>
      <xdr:row>181</xdr:row>
      <xdr:rowOff>42862</xdr:rowOff>
    </xdr:from>
    <xdr:to>
      <xdr:col>25</xdr:col>
      <xdr:colOff>123825</xdr:colOff>
      <xdr:row>201</xdr:row>
      <xdr:rowOff>152400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28575</xdr:colOff>
      <xdr:row>203</xdr:row>
      <xdr:rowOff>28574</xdr:rowOff>
    </xdr:from>
    <xdr:to>
      <xdr:col>25</xdr:col>
      <xdr:colOff>133350</xdr:colOff>
      <xdr:row>218</xdr:row>
      <xdr:rowOff>152399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219"/>
  <sheetViews>
    <sheetView tabSelected="1" view="pageBreakPreview" zoomScaleNormal="100" zoomScaleSheetLayoutView="100" workbookViewId="0">
      <selection activeCell="A77" sqref="A77:Z77"/>
    </sheetView>
  </sheetViews>
  <sheetFormatPr baseColWidth="10" defaultColWidth="2.6640625" defaultRowHeight="14.4" x14ac:dyDescent="0.3"/>
  <cols>
    <col min="1" max="13" width="2.6640625" style="1"/>
    <col min="14" max="14" width="5.5546875" style="1" bestFit="1" customWidth="1"/>
    <col min="15" max="15" width="3" style="1" bestFit="1" customWidth="1"/>
    <col min="16" max="19" width="2.6640625" style="1"/>
    <col min="20" max="20" width="3" style="1" bestFit="1" customWidth="1"/>
    <col min="21" max="21" width="2.88671875" style="1" customWidth="1"/>
    <col min="22" max="22" width="2.6640625" style="1"/>
    <col min="23" max="23" width="3.6640625" style="1" customWidth="1"/>
    <col min="24" max="24" width="2.6640625" style="1"/>
    <col min="25" max="26" width="2.6640625" style="1" customWidth="1"/>
    <col min="27" max="28" width="3.44140625" style="1" customWidth="1"/>
    <col min="29" max="30" width="2.6640625" style="1"/>
    <col min="31" max="31" width="5.33203125" style="1" customWidth="1"/>
    <col min="32" max="32" width="4.44140625" style="1" customWidth="1"/>
    <col min="33" max="33" width="5.33203125" style="1" customWidth="1"/>
    <col min="34" max="34" width="4.88671875" style="1" customWidth="1"/>
    <col min="35" max="37" width="2.6640625" style="1"/>
    <col min="38" max="41" width="0" style="1" hidden="1" customWidth="1"/>
    <col min="42" max="43" width="0" style="2" hidden="1" customWidth="1"/>
    <col min="44" max="44" width="9.44140625" style="2" hidden="1" customWidth="1"/>
    <col min="45" max="45" width="6.5546875" style="2" hidden="1" customWidth="1"/>
    <col min="46" max="46" width="2.6640625" style="2"/>
    <col min="47" max="16384" width="2.6640625" style="1"/>
  </cols>
  <sheetData>
    <row r="1" spans="1:47" x14ac:dyDescent="0.3">
      <c r="A1" s="111"/>
      <c r="B1" s="112"/>
      <c r="C1" s="112"/>
      <c r="D1" s="112"/>
      <c r="E1" s="112"/>
      <c r="F1" s="112"/>
      <c r="G1" s="112"/>
      <c r="H1" s="112"/>
      <c r="I1" s="112"/>
      <c r="J1" s="113"/>
      <c r="K1" s="105" t="s">
        <v>0</v>
      </c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7"/>
      <c r="AL1"/>
      <c r="AM1"/>
      <c r="AN1" s="235"/>
      <c r="AO1" s="235"/>
      <c r="AP1" s="235"/>
      <c r="AQ1" s="235"/>
      <c r="AR1" s="16"/>
      <c r="AS1" s="16"/>
      <c r="AT1" s="16"/>
      <c r="AU1"/>
    </row>
    <row r="2" spans="1:47" x14ac:dyDescent="0.3">
      <c r="A2" s="114"/>
      <c r="B2" s="115"/>
      <c r="C2" s="115"/>
      <c r="D2" s="115"/>
      <c r="E2" s="115"/>
      <c r="F2" s="115"/>
      <c r="G2" s="115"/>
      <c r="H2" s="115"/>
      <c r="I2" s="115"/>
      <c r="J2" s="116"/>
      <c r="K2" s="108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/>
      <c r="AI2" s="109"/>
      <c r="AJ2" s="109"/>
      <c r="AK2" s="110"/>
      <c r="AL2"/>
      <c r="AM2"/>
      <c r="AN2" s="235"/>
      <c r="AO2" s="235"/>
      <c r="AP2" s="235"/>
      <c r="AQ2" s="235"/>
      <c r="AR2" s="16"/>
      <c r="AS2" s="16"/>
      <c r="AT2" s="16"/>
      <c r="AU2"/>
    </row>
    <row r="3" spans="1:47" ht="2.1" customHeight="1" x14ac:dyDescent="0.3">
      <c r="AL3"/>
      <c r="AM3"/>
      <c r="AN3"/>
      <c r="AO3"/>
      <c r="AP3" s="16"/>
      <c r="AQ3" s="16"/>
      <c r="AR3" s="16"/>
      <c r="AS3" s="16"/>
      <c r="AT3" s="16"/>
      <c r="AU3"/>
    </row>
    <row r="4" spans="1:47" x14ac:dyDescent="0.3">
      <c r="A4" s="117" t="s">
        <v>68</v>
      </c>
      <c r="B4" s="117"/>
      <c r="C4" s="117"/>
      <c r="D4" s="117"/>
      <c r="E4" s="117"/>
      <c r="F4" s="117"/>
      <c r="G4" s="117"/>
      <c r="H4" s="117"/>
      <c r="I4" s="117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7" t="s">
        <v>1</v>
      </c>
      <c r="AB4" s="117"/>
      <c r="AC4" s="118"/>
      <c r="AD4" s="118"/>
      <c r="AE4" s="118"/>
      <c r="AF4" s="118"/>
      <c r="AG4" s="118"/>
      <c r="AH4" s="118"/>
      <c r="AI4" s="118"/>
      <c r="AJ4" s="118"/>
      <c r="AK4" s="118"/>
      <c r="AL4"/>
      <c r="AM4"/>
      <c r="AN4"/>
      <c r="AO4"/>
      <c r="AP4" s="16"/>
      <c r="AQ4" s="16"/>
      <c r="AR4" s="16"/>
      <c r="AS4" s="16"/>
      <c r="AT4" s="16"/>
      <c r="AU4"/>
    </row>
    <row r="5" spans="1:47" ht="2.1" customHeight="1" x14ac:dyDescent="0.3">
      <c r="A5" s="15"/>
      <c r="B5" s="15"/>
      <c r="C5" s="15"/>
      <c r="D5" s="15"/>
      <c r="E5" s="15"/>
      <c r="F5" s="15"/>
      <c r="G5" s="15"/>
      <c r="H5" s="15"/>
      <c r="I5" s="15"/>
      <c r="AL5"/>
      <c r="AM5"/>
      <c r="AN5"/>
      <c r="AO5"/>
      <c r="AP5" s="16"/>
      <c r="AQ5" s="16"/>
      <c r="AR5" s="16"/>
      <c r="AS5" s="16"/>
      <c r="AT5" s="16"/>
      <c r="AU5"/>
    </row>
    <row r="6" spans="1:47" x14ac:dyDescent="0.3">
      <c r="A6" s="117" t="s">
        <v>69</v>
      </c>
      <c r="B6" s="117"/>
      <c r="C6" s="117"/>
      <c r="D6" s="117"/>
      <c r="E6" s="117"/>
      <c r="F6" s="117"/>
      <c r="G6" s="117"/>
      <c r="H6" s="117"/>
      <c r="I6" s="117"/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9"/>
      <c r="AH6" s="119"/>
      <c r="AI6" s="119"/>
      <c r="AJ6" s="119"/>
      <c r="AK6" s="119"/>
      <c r="AL6"/>
      <c r="AM6"/>
      <c r="AN6"/>
      <c r="AO6"/>
      <c r="AP6" s="16"/>
      <c r="AQ6" s="16"/>
      <c r="AR6" s="16"/>
      <c r="AS6" s="16"/>
      <c r="AT6" s="16"/>
      <c r="AU6"/>
    </row>
    <row r="7" spans="1:47" ht="2.1" customHeight="1" x14ac:dyDescent="0.3">
      <c r="A7" s="3"/>
      <c r="B7" s="3"/>
      <c r="C7" s="3"/>
      <c r="D7" s="3"/>
      <c r="E7" s="3"/>
      <c r="F7" s="3"/>
      <c r="G7" s="3"/>
      <c r="H7" s="3"/>
      <c r="I7" s="3"/>
      <c r="AL7"/>
      <c r="AM7"/>
      <c r="AN7"/>
      <c r="AO7"/>
      <c r="AP7" s="16"/>
      <c r="AQ7" s="16"/>
      <c r="AR7" s="16"/>
      <c r="AS7" s="16"/>
      <c r="AT7" s="16"/>
      <c r="AU7"/>
    </row>
    <row r="8" spans="1:47" x14ac:dyDescent="0.3">
      <c r="A8" s="117" t="s">
        <v>2</v>
      </c>
      <c r="B8" s="117"/>
      <c r="C8" s="117"/>
      <c r="D8" s="117"/>
      <c r="E8" s="117"/>
      <c r="F8" s="117"/>
      <c r="G8" s="117"/>
      <c r="H8" s="117"/>
      <c r="I8" s="117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20" t="s">
        <v>3</v>
      </c>
      <c r="X8" s="120"/>
      <c r="Y8" s="120"/>
      <c r="Z8" s="120"/>
      <c r="AA8" s="120"/>
      <c r="AB8" s="120"/>
      <c r="AC8" s="120"/>
      <c r="AD8" s="119"/>
      <c r="AE8" s="119"/>
      <c r="AF8" s="119"/>
      <c r="AG8" s="119"/>
      <c r="AH8" s="119"/>
      <c r="AI8" s="119"/>
      <c r="AJ8" s="119"/>
      <c r="AK8" s="119"/>
      <c r="AL8"/>
      <c r="AM8"/>
      <c r="AN8"/>
      <c r="AO8"/>
      <c r="AP8" s="16"/>
      <c r="AQ8" s="16"/>
      <c r="AR8" s="16"/>
      <c r="AS8" s="16"/>
      <c r="AT8" s="16"/>
      <c r="AU8"/>
    </row>
    <row r="9" spans="1:47" ht="2.1" customHeight="1" x14ac:dyDescent="0.3">
      <c r="AL9"/>
      <c r="AM9"/>
      <c r="AN9"/>
      <c r="AO9"/>
      <c r="AP9" s="16"/>
      <c r="AQ9" s="16"/>
      <c r="AR9" s="16"/>
      <c r="AS9" s="16"/>
      <c r="AT9" s="16"/>
      <c r="AU9"/>
    </row>
    <row r="10" spans="1:47" x14ac:dyDescent="0.3">
      <c r="A10" s="120" t="s">
        <v>70</v>
      </c>
      <c r="B10" s="120"/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2"/>
      <c r="AG10" s="122"/>
      <c r="AH10" s="122"/>
      <c r="AI10" s="122"/>
      <c r="AJ10" s="122"/>
      <c r="AK10" s="122"/>
      <c r="AL10"/>
      <c r="AM10"/>
      <c r="AN10"/>
      <c r="AO10"/>
      <c r="AP10" s="16"/>
      <c r="AQ10" s="16"/>
      <c r="AR10" s="16"/>
      <c r="AS10" s="16"/>
      <c r="AT10" s="16"/>
      <c r="AU10"/>
    </row>
    <row r="11" spans="1:47" ht="2.1" customHeight="1" x14ac:dyDescent="0.3">
      <c r="AL11"/>
      <c r="AM11"/>
      <c r="AN11"/>
      <c r="AO11"/>
      <c r="AP11" s="16"/>
      <c r="AQ11" s="16"/>
      <c r="AR11" s="16"/>
      <c r="AS11" s="16"/>
      <c r="AT11" s="16"/>
      <c r="AU11"/>
    </row>
    <row r="12" spans="1:47" x14ac:dyDescent="0.3">
      <c r="A12" s="117" t="s">
        <v>4</v>
      </c>
      <c r="B12" s="117"/>
      <c r="C12" s="117"/>
      <c r="D12" s="117"/>
      <c r="E12" s="117"/>
      <c r="F12" s="117"/>
      <c r="G12" s="117"/>
      <c r="H12" s="117"/>
      <c r="I12" s="117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7" t="s">
        <v>3</v>
      </c>
      <c r="W12" s="117"/>
      <c r="X12" s="117"/>
      <c r="Y12" s="117"/>
      <c r="Z12" s="117"/>
      <c r="AA12" s="117"/>
      <c r="AB12" s="117"/>
      <c r="AC12" s="118"/>
      <c r="AD12" s="118"/>
      <c r="AE12" s="118"/>
      <c r="AF12" s="118"/>
      <c r="AG12" s="118"/>
      <c r="AH12" s="118"/>
      <c r="AI12" s="118"/>
      <c r="AJ12" s="118"/>
      <c r="AK12" s="118"/>
      <c r="AL12"/>
      <c r="AM12"/>
      <c r="AN12"/>
      <c r="AO12"/>
      <c r="AP12" s="16"/>
      <c r="AQ12" s="16"/>
      <c r="AR12" s="16"/>
      <c r="AS12" s="16"/>
      <c r="AT12" s="16"/>
      <c r="AU12"/>
    </row>
    <row r="13" spans="1:47" ht="2.1" customHeight="1" x14ac:dyDescent="0.3">
      <c r="AL13"/>
      <c r="AM13"/>
      <c r="AN13"/>
      <c r="AO13"/>
      <c r="AP13" s="16"/>
      <c r="AQ13" s="16"/>
      <c r="AR13" s="16"/>
      <c r="AS13" s="16"/>
      <c r="AT13" s="16"/>
      <c r="AU13"/>
    </row>
    <row r="14" spans="1:47" x14ac:dyDescent="0.3">
      <c r="A14" s="117" t="s">
        <v>5</v>
      </c>
      <c r="B14" s="117"/>
      <c r="C14" s="117"/>
      <c r="D14" s="117"/>
      <c r="E14" s="117"/>
      <c r="F14" s="117"/>
      <c r="G14" s="117"/>
      <c r="H14" s="117"/>
      <c r="I14" s="117"/>
      <c r="J14" s="119"/>
      <c r="K14" s="119"/>
      <c r="L14" s="119"/>
      <c r="M14" s="119"/>
      <c r="N14" s="119"/>
      <c r="O14" s="119"/>
      <c r="P14" s="119"/>
      <c r="Q14" s="119"/>
      <c r="R14" s="119"/>
      <c r="S14" s="119"/>
      <c r="T14" s="119"/>
      <c r="U14" s="119"/>
      <c r="V14" s="119"/>
      <c r="W14" s="119"/>
      <c r="X14" s="119"/>
      <c r="Y14" s="119"/>
      <c r="Z14" s="119"/>
      <c r="AA14" s="120" t="s">
        <v>6</v>
      </c>
      <c r="AB14" s="120"/>
      <c r="AC14" s="120"/>
      <c r="AD14" s="119"/>
      <c r="AE14" s="119"/>
      <c r="AF14" s="119"/>
      <c r="AG14" s="119"/>
      <c r="AH14" s="119"/>
      <c r="AI14" s="119"/>
      <c r="AJ14" s="119"/>
      <c r="AK14" s="119"/>
      <c r="AL14"/>
      <c r="AM14"/>
      <c r="AN14"/>
      <c r="AO14"/>
      <c r="AP14" s="16"/>
      <c r="AQ14" s="16"/>
      <c r="AR14" s="16"/>
      <c r="AS14" s="16"/>
      <c r="AT14" s="16"/>
      <c r="AU14"/>
    </row>
    <row r="15" spans="1:47" ht="2.1" customHeight="1" x14ac:dyDescent="0.3">
      <c r="AL15"/>
      <c r="AM15"/>
      <c r="AN15"/>
      <c r="AO15"/>
      <c r="AP15" s="16"/>
      <c r="AQ15" s="16"/>
      <c r="AR15" s="16"/>
      <c r="AS15" s="16"/>
      <c r="AT15" s="16"/>
      <c r="AU15"/>
    </row>
    <row r="16" spans="1:47" x14ac:dyDescent="0.3">
      <c r="A16" s="120" t="s">
        <v>7</v>
      </c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/>
      <c r="AM16"/>
      <c r="AN16"/>
      <c r="AO16"/>
      <c r="AP16" s="16"/>
      <c r="AQ16" s="16"/>
      <c r="AR16" s="16"/>
      <c r="AS16" s="16"/>
      <c r="AT16" s="16"/>
      <c r="AU16"/>
    </row>
    <row r="17" spans="1:47" ht="2.1" customHeight="1" x14ac:dyDescent="0.3">
      <c r="AL17"/>
      <c r="AM17"/>
      <c r="AN17"/>
      <c r="AO17"/>
      <c r="AP17" s="16"/>
      <c r="AQ17" s="16"/>
      <c r="AR17" s="16"/>
      <c r="AS17" s="16"/>
      <c r="AT17" s="16"/>
      <c r="AU17"/>
    </row>
    <row r="18" spans="1:47" x14ac:dyDescent="0.3">
      <c r="A18" s="123" t="s">
        <v>75</v>
      </c>
      <c r="B18" s="123"/>
      <c r="C18" s="123"/>
      <c r="D18" s="123"/>
      <c r="E18" s="123"/>
      <c r="F18" s="123"/>
      <c r="G18" s="123"/>
      <c r="H18" s="123"/>
      <c r="I18" s="123"/>
      <c r="J18" s="123"/>
      <c r="K18" s="123"/>
      <c r="L18" s="123"/>
      <c r="M18" s="123"/>
      <c r="N18" s="123"/>
      <c r="O18" s="123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3"/>
      <c r="AA18" s="123"/>
      <c r="AB18" s="123"/>
      <c r="AC18" s="123"/>
      <c r="AD18" s="123"/>
      <c r="AE18" s="123"/>
      <c r="AF18" s="123"/>
      <c r="AG18" s="123"/>
      <c r="AH18" s="123"/>
      <c r="AI18" s="123"/>
      <c r="AJ18" s="123"/>
      <c r="AK18" s="123"/>
      <c r="AL18"/>
      <c r="AM18"/>
      <c r="AN18"/>
      <c r="AO18"/>
      <c r="AP18" s="16"/>
      <c r="AQ18" s="16"/>
      <c r="AR18" s="16"/>
      <c r="AS18" s="16"/>
      <c r="AT18" s="16"/>
      <c r="AU18"/>
    </row>
    <row r="19" spans="1:47" ht="2.1" customHeight="1" x14ac:dyDescent="0.3">
      <c r="AL19"/>
      <c r="AM19"/>
      <c r="AN19"/>
      <c r="AO19"/>
      <c r="AP19" s="16"/>
      <c r="AQ19" s="16"/>
      <c r="AR19" s="16"/>
      <c r="AS19" s="16"/>
      <c r="AT19" s="16"/>
      <c r="AU19"/>
    </row>
    <row r="20" spans="1:47" x14ac:dyDescent="0.3">
      <c r="A20" s="1">
        <v>1</v>
      </c>
      <c r="B20" s="124"/>
      <c r="C20" s="124"/>
      <c r="D20" s="124"/>
      <c r="E20" s="124"/>
      <c r="F20" s="124"/>
      <c r="G20" s="124"/>
      <c r="H20" s="124"/>
      <c r="I20" s="124"/>
      <c r="J20" s="124"/>
      <c r="K20" s="124"/>
      <c r="L20" s="124"/>
      <c r="M20" s="124"/>
      <c r="N20" s="124"/>
      <c r="O20" s="124"/>
      <c r="P20" s="124"/>
      <c r="Q20" s="124"/>
      <c r="R20" s="124"/>
      <c r="T20" s="1">
        <v>6</v>
      </c>
      <c r="U20" s="119"/>
      <c r="V20" s="119"/>
      <c r="W20" s="119"/>
      <c r="X20" s="119"/>
      <c r="Y20" s="119"/>
      <c r="Z20" s="119"/>
      <c r="AA20" s="119"/>
      <c r="AB20" s="119"/>
      <c r="AC20" s="119"/>
      <c r="AD20" s="119"/>
      <c r="AE20" s="119"/>
      <c r="AF20" s="119"/>
      <c r="AG20" s="119"/>
      <c r="AH20" s="119"/>
      <c r="AI20" s="119"/>
      <c r="AJ20" s="119"/>
      <c r="AK20" s="119"/>
      <c r="AL20"/>
      <c r="AM20"/>
      <c r="AN20"/>
      <c r="AO20"/>
      <c r="AP20" s="16"/>
      <c r="AQ20" s="16"/>
      <c r="AR20" s="16"/>
      <c r="AS20" s="16"/>
      <c r="AT20" s="16"/>
      <c r="AU20"/>
    </row>
    <row r="21" spans="1:47" ht="2.1" customHeight="1" x14ac:dyDescent="0.3">
      <c r="AL21"/>
      <c r="AM21"/>
      <c r="AN21"/>
      <c r="AO21"/>
      <c r="AP21" s="16"/>
      <c r="AQ21" s="16"/>
      <c r="AR21" s="16"/>
      <c r="AS21" s="16"/>
      <c r="AT21" s="16"/>
      <c r="AU21"/>
    </row>
    <row r="22" spans="1:47" x14ac:dyDescent="0.3">
      <c r="A22" s="1">
        <v>2</v>
      </c>
      <c r="B22" s="124"/>
      <c r="C22" s="124"/>
      <c r="D22" s="124"/>
      <c r="E22" s="124"/>
      <c r="F22" s="124"/>
      <c r="G22" s="124"/>
      <c r="H22" s="124"/>
      <c r="I22" s="124"/>
      <c r="J22" s="124"/>
      <c r="K22" s="124"/>
      <c r="L22" s="124"/>
      <c r="M22" s="124"/>
      <c r="N22" s="124"/>
      <c r="O22" s="124"/>
      <c r="P22" s="124"/>
      <c r="Q22" s="124"/>
      <c r="R22" s="124"/>
      <c r="T22" s="1">
        <v>7</v>
      </c>
      <c r="U22" s="119"/>
      <c r="V22" s="119"/>
      <c r="W22" s="119"/>
      <c r="X22" s="119"/>
      <c r="Y22" s="119"/>
      <c r="Z22" s="119"/>
      <c r="AA22" s="119"/>
      <c r="AB22" s="119"/>
      <c r="AC22" s="119"/>
      <c r="AD22" s="119"/>
      <c r="AE22" s="119"/>
      <c r="AF22" s="119"/>
      <c r="AG22" s="119"/>
      <c r="AH22" s="119"/>
      <c r="AI22" s="119"/>
      <c r="AJ22" s="119"/>
      <c r="AK22" s="119"/>
      <c r="AL22"/>
      <c r="AM22"/>
      <c r="AN22"/>
      <c r="AO22"/>
      <c r="AP22" s="16"/>
      <c r="AQ22" s="16"/>
      <c r="AR22" s="16"/>
      <c r="AS22" s="16"/>
      <c r="AT22" s="16"/>
      <c r="AU22"/>
    </row>
    <row r="23" spans="1:47" ht="2.1" customHeight="1" x14ac:dyDescent="0.3">
      <c r="AL23"/>
      <c r="AM23"/>
      <c r="AN23"/>
      <c r="AO23"/>
      <c r="AP23" s="16"/>
      <c r="AQ23" s="16"/>
      <c r="AR23" s="16"/>
      <c r="AS23" s="16"/>
      <c r="AT23" s="16"/>
      <c r="AU23"/>
    </row>
    <row r="24" spans="1:47" x14ac:dyDescent="0.3">
      <c r="A24" s="1">
        <v>3</v>
      </c>
      <c r="B24" s="124"/>
      <c r="C24" s="124"/>
      <c r="D24" s="124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4"/>
      <c r="T24" s="1">
        <v>8</v>
      </c>
      <c r="U24" s="119"/>
      <c r="V24" s="119"/>
      <c r="W24" s="119"/>
      <c r="X24" s="119"/>
      <c r="Y24" s="119"/>
      <c r="Z24" s="119"/>
      <c r="AA24" s="119"/>
      <c r="AB24" s="119"/>
      <c r="AC24" s="119"/>
      <c r="AD24" s="119"/>
      <c r="AE24" s="119"/>
      <c r="AF24" s="119"/>
      <c r="AG24" s="119"/>
      <c r="AH24" s="119"/>
      <c r="AI24" s="119"/>
      <c r="AJ24" s="119"/>
      <c r="AK24" s="119"/>
      <c r="AL24"/>
      <c r="AM24"/>
      <c r="AN24"/>
      <c r="AO24"/>
      <c r="AP24" s="16"/>
      <c r="AQ24" s="16"/>
      <c r="AR24" s="16"/>
      <c r="AS24" s="16"/>
      <c r="AT24" s="16"/>
      <c r="AU24"/>
    </row>
    <row r="25" spans="1:47" ht="2.1" customHeight="1" x14ac:dyDescent="0.3">
      <c r="AL25"/>
      <c r="AM25"/>
      <c r="AN25"/>
      <c r="AO25"/>
      <c r="AP25" s="16"/>
      <c r="AQ25" s="16"/>
      <c r="AR25" s="16"/>
      <c r="AS25" s="16"/>
      <c r="AT25" s="16"/>
      <c r="AU25"/>
    </row>
    <row r="26" spans="1:47" x14ac:dyDescent="0.3">
      <c r="A26" s="1">
        <v>4</v>
      </c>
      <c r="B26" s="124"/>
      <c r="C26" s="124"/>
      <c r="D26" s="124"/>
      <c r="E26" s="124"/>
      <c r="F26" s="124"/>
      <c r="G26" s="124"/>
      <c r="H26" s="124"/>
      <c r="I26" s="124"/>
      <c r="J26" s="124"/>
      <c r="K26" s="124"/>
      <c r="L26" s="124"/>
      <c r="M26" s="124"/>
      <c r="N26" s="124"/>
      <c r="O26" s="124"/>
      <c r="P26" s="124"/>
      <c r="Q26" s="124"/>
      <c r="R26" s="124"/>
      <c r="T26" s="1">
        <v>9</v>
      </c>
      <c r="U26" s="119"/>
      <c r="V26" s="119"/>
      <c r="W26" s="119"/>
      <c r="X26" s="119"/>
      <c r="Y26" s="119"/>
      <c r="Z26" s="119"/>
      <c r="AA26" s="119"/>
      <c r="AB26" s="119"/>
      <c r="AC26" s="119"/>
      <c r="AD26" s="119"/>
      <c r="AE26" s="119"/>
      <c r="AF26" s="119"/>
      <c r="AG26" s="119"/>
      <c r="AH26" s="119"/>
      <c r="AI26" s="119"/>
      <c r="AJ26" s="119"/>
      <c r="AK26" s="119"/>
      <c r="AL26"/>
      <c r="AM26"/>
      <c r="AN26"/>
      <c r="AO26"/>
      <c r="AP26" s="16"/>
      <c r="AQ26" s="16"/>
      <c r="AR26" s="16"/>
      <c r="AS26" s="16"/>
      <c r="AT26" s="16"/>
      <c r="AU26"/>
    </row>
    <row r="27" spans="1:47" ht="2.1" customHeight="1" x14ac:dyDescent="0.3">
      <c r="AL27"/>
      <c r="AM27"/>
      <c r="AN27"/>
      <c r="AO27"/>
      <c r="AP27" s="16"/>
      <c r="AQ27" s="16"/>
      <c r="AR27" s="16"/>
      <c r="AS27" s="16"/>
      <c r="AT27" s="16"/>
      <c r="AU27"/>
    </row>
    <row r="28" spans="1:47" x14ac:dyDescent="0.3">
      <c r="A28" s="1">
        <v>5</v>
      </c>
      <c r="B28" s="124"/>
      <c r="C28" s="124"/>
      <c r="D28" s="124"/>
      <c r="E28" s="124"/>
      <c r="F28" s="124"/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4"/>
      <c r="R28" s="124"/>
      <c r="T28" s="1">
        <v>10</v>
      </c>
      <c r="U28" s="119"/>
      <c r="V28" s="119"/>
      <c r="W28" s="119"/>
      <c r="X28" s="119"/>
      <c r="Y28" s="119"/>
      <c r="Z28" s="119"/>
      <c r="AA28" s="119"/>
      <c r="AB28" s="119"/>
      <c r="AC28" s="119"/>
      <c r="AD28" s="119"/>
      <c r="AE28" s="119"/>
      <c r="AF28" s="119"/>
      <c r="AG28" s="119"/>
      <c r="AH28" s="119"/>
      <c r="AI28" s="119"/>
      <c r="AJ28" s="119"/>
      <c r="AK28" s="119"/>
      <c r="AL28"/>
      <c r="AM28"/>
      <c r="AN28"/>
      <c r="AO28"/>
      <c r="AP28" s="16"/>
      <c r="AQ28" s="16"/>
      <c r="AR28" s="16"/>
      <c r="AS28" s="16"/>
      <c r="AT28" s="16"/>
      <c r="AU28"/>
    </row>
    <row r="29" spans="1:47" ht="2.1" customHeight="1" x14ac:dyDescent="0.3">
      <c r="AL29"/>
      <c r="AM29"/>
      <c r="AN29"/>
      <c r="AO29"/>
      <c r="AP29" s="16"/>
      <c r="AQ29" s="16"/>
      <c r="AR29" s="16"/>
      <c r="AS29" s="16"/>
      <c r="AT29" s="16"/>
      <c r="AU29"/>
    </row>
    <row r="30" spans="1:47" x14ac:dyDescent="0.3">
      <c r="A30" s="123" t="s">
        <v>8</v>
      </c>
      <c r="B30" s="123"/>
      <c r="C30" s="123"/>
      <c r="D30" s="123"/>
      <c r="E30" s="123"/>
      <c r="F30" s="123"/>
      <c r="G30" s="123"/>
      <c r="H30" s="123"/>
      <c r="I30" s="123"/>
      <c r="J30" s="123"/>
      <c r="K30" s="123"/>
      <c r="L30" s="123"/>
      <c r="M30" s="123"/>
      <c r="N30" s="123"/>
      <c r="O30" s="123"/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  <c r="AC30" s="123"/>
      <c r="AD30" s="123"/>
      <c r="AE30" s="123"/>
      <c r="AF30" s="123"/>
      <c r="AG30" s="123"/>
      <c r="AH30" s="123"/>
      <c r="AI30" s="123"/>
      <c r="AJ30" s="123"/>
      <c r="AK30" s="123"/>
      <c r="AL30"/>
      <c r="AM30"/>
      <c r="AN30"/>
      <c r="AO30"/>
      <c r="AP30" s="16"/>
      <c r="AQ30" s="16"/>
      <c r="AR30" s="16"/>
      <c r="AS30" s="16"/>
      <c r="AT30" s="16"/>
      <c r="AU30"/>
    </row>
    <row r="31" spans="1:47" ht="2.1" customHeight="1" thickBot="1" x14ac:dyDescent="0.3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/>
      <c r="AM31"/>
      <c r="AN31"/>
      <c r="AO31"/>
      <c r="AP31" s="16"/>
      <c r="AQ31" s="16"/>
      <c r="AR31" s="16"/>
      <c r="AS31" s="16"/>
      <c r="AT31" s="16"/>
      <c r="AU31"/>
    </row>
    <row r="32" spans="1:47" ht="27.75" customHeight="1" thickBot="1" x14ac:dyDescent="0.35">
      <c r="A32" s="135" t="s">
        <v>10</v>
      </c>
      <c r="B32" s="136"/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36"/>
      <c r="N32" s="136"/>
      <c r="O32" s="136"/>
      <c r="P32" s="136"/>
      <c r="Q32" s="136"/>
      <c r="R32" s="136"/>
      <c r="S32" s="136"/>
      <c r="T32" s="136"/>
      <c r="U32" s="136"/>
      <c r="V32" s="136"/>
      <c r="W32" s="136"/>
      <c r="X32" s="136"/>
      <c r="Y32" s="136"/>
      <c r="Z32" s="136"/>
      <c r="AA32" s="136"/>
      <c r="AB32" s="136"/>
      <c r="AC32" s="136"/>
      <c r="AD32" s="137"/>
      <c r="AE32" s="125" t="s">
        <v>88</v>
      </c>
      <c r="AF32" s="126"/>
      <c r="AG32" s="125" t="s">
        <v>87</v>
      </c>
      <c r="AH32" s="126"/>
      <c r="AI32" s="127" t="s">
        <v>9</v>
      </c>
      <c r="AJ32" s="128"/>
      <c r="AK32" s="129"/>
      <c r="AL32"/>
      <c r="AM32"/>
      <c r="AN32"/>
      <c r="AO32"/>
      <c r="AP32" s="16"/>
      <c r="AQ32" s="16"/>
      <c r="AR32" s="16" t="str">
        <f>+A52</f>
        <v>RESULTADO DE ETAPA DE COMPROMISO GERENCIAL</v>
      </c>
      <c r="AS32" s="16" t="str">
        <f>+AA52</f>
        <v/>
      </c>
      <c r="AT32" s="16"/>
      <c r="AU32"/>
    </row>
    <row r="33" spans="1:64" x14ac:dyDescent="0.3">
      <c r="A33" s="138" t="s">
        <v>11</v>
      </c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9"/>
      <c r="T33" s="139"/>
      <c r="U33" s="139"/>
      <c r="V33" s="139"/>
      <c r="W33" s="139"/>
      <c r="X33" s="139"/>
      <c r="Y33" s="139"/>
      <c r="Z33" s="139"/>
      <c r="AA33" s="139"/>
      <c r="AB33" s="139"/>
      <c r="AC33" s="139"/>
      <c r="AD33" s="140"/>
      <c r="AE33" s="133"/>
      <c r="AF33" s="133"/>
      <c r="AG33" s="133"/>
      <c r="AH33" s="134"/>
      <c r="AI33" s="130" t="str">
        <f>IF(AE33="","",(AG33-AE33)/AE33)</f>
        <v/>
      </c>
      <c r="AJ33" s="131"/>
      <c r="AK33" s="132"/>
      <c r="AL33"/>
      <c r="AM33"/>
      <c r="AN33"/>
      <c r="AO33"/>
      <c r="AP33" s="16"/>
      <c r="AQ33" s="16"/>
      <c r="AR33" s="16" t="str">
        <f>+A66</f>
        <v>RESULTADO DE ETAPA DE COMPETENCIAS</v>
      </c>
      <c r="AS33" s="16" t="str">
        <f>+AA66</f>
        <v/>
      </c>
      <c r="AT33" s="16"/>
      <c r="AU33"/>
    </row>
    <row r="34" spans="1:64" x14ac:dyDescent="0.3">
      <c r="A34" s="89" t="s">
        <v>12</v>
      </c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1"/>
      <c r="AE34" s="76"/>
      <c r="AF34" s="76"/>
      <c r="AG34" s="76"/>
      <c r="AH34" s="77"/>
      <c r="AI34" s="78" t="str">
        <f t="shared" ref="AI34:AI39" si="0">IF(AE34="","",(AG34-AE34)/AE34)</f>
        <v/>
      </c>
      <c r="AJ34" s="79"/>
      <c r="AK34" s="80"/>
      <c r="AL34"/>
      <c r="AM34"/>
      <c r="AN34"/>
      <c r="AO34"/>
      <c r="AP34" s="16"/>
      <c r="AQ34" s="16"/>
      <c r="AR34" s="16" t="str">
        <f>+A77</f>
        <v>RESULTADO DE ETAPA DE INTEGRIDAD</v>
      </c>
      <c r="AS34" s="16" t="str">
        <f>+AA77</f>
        <v/>
      </c>
      <c r="AT34" s="16"/>
      <c r="AU34"/>
    </row>
    <row r="35" spans="1:64" x14ac:dyDescent="0.3">
      <c r="A35" s="89" t="s">
        <v>14</v>
      </c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91"/>
      <c r="AE35" s="76"/>
      <c r="AF35" s="76"/>
      <c r="AG35" s="76"/>
      <c r="AH35" s="77"/>
      <c r="AI35" s="78" t="str">
        <f t="shared" si="0"/>
        <v/>
      </c>
      <c r="AJ35" s="79"/>
      <c r="AK35" s="80"/>
      <c r="AL35"/>
      <c r="AM35"/>
      <c r="AN35"/>
      <c r="AO35"/>
      <c r="AP35" s="16"/>
      <c r="AQ35" s="16"/>
      <c r="AR35" s="16" t="str">
        <f>+A85</f>
        <v>RESULTADO DE ETAPA DE PROCEDIMIENTOS</v>
      </c>
      <c r="AS35" s="16" t="str">
        <f>+AA85</f>
        <v/>
      </c>
      <c r="AT35" s="16"/>
      <c r="AU35"/>
    </row>
    <row r="36" spans="1:64" x14ac:dyDescent="0.3">
      <c r="A36" s="89" t="s">
        <v>15</v>
      </c>
      <c r="B36" s="90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0"/>
      <c r="AD36" s="91"/>
      <c r="AE36" s="76"/>
      <c r="AF36" s="76"/>
      <c r="AG36" s="76"/>
      <c r="AH36" s="77"/>
      <c r="AI36" s="78" t="str">
        <f t="shared" si="0"/>
        <v/>
      </c>
      <c r="AJ36" s="79"/>
      <c r="AK36" s="80"/>
      <c r="AL36"/>
      <c r="AM36"/>
      <c r="AN36"/>
      <c r="AO36"/>
      <c r="AP36" s="16"/>
      <c r="AQ36" s="16"/>
      <c r="AR36" s="16" t="str">
        <f>+A93</f>
        <v>RESULTADO DE ETAPA DE CONTROLES</v>
      </c>
      <c r="AS36" s="16" t="str">
        <f>+AA93</f>
        <v/>
      </c>
      <c r="AT36" s="16"/>
      <c r="AU36"/>
    </row>
    <row r="37" spans="1:64" x14ac:dyDescent="0.3">
      <c r="A37" s="89" t="s">
        <v>13</v>
      </c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91"/>
      <c r="AE37" s="76"/>
      <c r="AF37" s="76"/>
      <c r="AG37" s="76"/>
      <c r="AH37" s="77"/>
      <c r="AI37" s="78" t="str">
        <f t="shared" si="0"/>
        <v/>
      </c>
      <c r="AJ37" s="79"/>
      <c r="AK37" s="80"/>
      <c r="AL37"/>
      <c r="AM37"/>
      <c r="AN37"/>
      <c r="AO37"/>
      <c r="AP37" s="16"/>
      <c r="AQ37" s="16"/>
      <c r="AR37" s="16"/>
      <c r="AS37" s="16"/>
      <c r="AT37" s="16"/>
      <c r="AU37"/>
    </row>
    <row r="38" spans="1:64" x14ac:dyDescent="0.3">
      <c r="A38" s="89" t="s">
        <v>17</v>
      </c>
      <c r="B38" s="90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1"/>
      <c r="AE38" s="76"/>
      <c r="AF38" s="76"/>
      <c r="AG38" s="76"/>
      <c r="AH38" s="77"/>
      <c r="AI38" s="78" t="str">
        <f t="shared" si="0"/>
        <v/>
      </c>
      <c r="AJ38" s="79"/>
      <c r="AK38" s="80"/>
      <c r="AL38"/>
      <c r="AM38"/>
      <c r="AN38"/>
      <c r="AO38"/>
      <c r="AP38" s="16"/>
      <c r="AQ38" s="16"/>
      <c r="AR38" s="16"/>
      <c r="AS38" s="16"/>
      <c r="AT38" s="16"/>
      <c r="AU38"/>
    </row>
    <row r="39" spans="1:64" ht="15" thickBot="1" x14ac:dyDescent="0.35">
      <c r="A39" s="92" t="s">
        <v>16</v>
      </c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94"/>
      <c r="AE39" s="87"/>
      <c r="AF39" s="87"/>
      <c r="AG39" s="87"/>
      <c r="AH39" s="88"/>
      <c r="AI39" s="84" t="str">
        <f t="shared" si="0"/>
        <v/>
      </c>
      <c r="AJ39" s="85"/>
      <c r="AK39" s="86"/>
      <c r="AL39"/>
      <c r="AM39"/>
      <c r="AN39"/>
      <c r="AO39"/>
      <c r="AP39" s="16"/>
      <c r="AQ39" s="16"/>
      <c r="AR39" s="16"/>
      <c r="AS39" s="16"/>
      <c r="AT39" s="16"/>
      <c r="AU39"/>
    </row>
    <row r="40" spans="1:64" ht="2.1" customHeight="1" x14ac:dyDescent="0.3">
      <c r="AL40"/>
      <c r="AM40"/>
      <c r="AN40"/>
      <c r="AO40"/>
      <c r="AP40" s="16"/>
      <c r="AQ40" s="16"/>
      <c r="AR40" s="16"/>
      <c r="AS40" s="16"/>
      <c r="AT40" s="16"/>
      <c r="AU40"/>
    </row>
    <row r="41" spans="1:64" x14ac:dyDescent="0.3">
      <c r="A41" s="102" t="s">
        <v>18</v>
      </c>
      <c r="B41" s="102"/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  <c r="AC41" s="102"/>
      <c r="AD41" s="102"/>
      <c r="AE41" s="102"/>
      <c r="AF41" s="102"/>
      <c r="AG41" s="102"/>
      <c r="AH41" s="102"/>
      <c r="AI41" s="102"/>
      <c r="AJ41" s="102"/>
      <c r="AK41" s="102"/>
      <c r="AL41"/>
      <c r="AM41"/>
      <c r="AN41"/>
      <c r="AO41"/>
      <c r="AP41" s="16"/>
      <c r="AQ41" s="16"/>
      <c r="AR41" s="16"/>
      <c r="AS41" s="16"/>
      <c r="AT41" s="16"/>
      <c r="AU41"/>
    </row>
    <row r="42" spans="1:64" ht="2.1" customHeight="1" thickBot="1" x14ac:dyDescent="0.35">
      <c r="AL42"/>
      <c r="AM42"/>
      <c r="AN42"/>
      <c r="AO42"/>
      <c r="AP42" s="16"/>
      <c r="AQ42" s="16"/>
      <c r="AR42" s="16"/>
      <c r="AS42" s="16"/>
      <c r="AT42" s="16"/>
      <c r="AU42"/>
    </row>
    <row r="43" spans="1:64" ht="22.5" customHeight="1" thickBot="1" x14ac:dyDescent="0.35">
      <c r="A43" s="61" t="s">
        <v>23</v>
      </c>
      <c r="B43" s="62"/>
      <c r="C43" s="63"/>
      <c r="D43" s="61" t="s">
        <v>24</v>
      </c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3"/>
      <c r="W43" s="98" t="s">
        <v>65</v>
      </c>
      <c r="X43" s="95"/>
      <c r="Y43" s="97" t="s">
        <v>63</v>
      </c>
      <c r="Z43" s="97"/>
      <c r="AA43" s="95" t="s">
        <v>25</v>
      </c>
      <c r="AB43" s="96"/>
      <c r="AC43" s="61" t="s">
        <v>22</v>
      </c>
      <c r="AD43" s="62"/>
      <c r="AE43" s="62"/>
      <c r="AF43" s="62"/>
      <c r="AG43" s="62"/>
      <c r="AH43" s="62"/>
      <c r="AI43" s="62"/>
      <c r="AJ43" s="62"/>
      <c r="AK43" s="63"/>
      <c r="AL43"/>
      <c r="AM43"/>
      <c r="AN43"/>
      <c r="AO43"/>
      <c r="AP43" s="16"/>
      <c r="AQ43" s="16"/>
      <c r="AR43" s="16"/>
      <c r="AS43" s="16"/>
      <c r="AT43" s="16"/>
      <c r="AU43"/>
    </row>
    <row r="44" spans="1:64" s="5" customFormat="1" ht="29.25" customHeight="1" x14ac:dyDescent="0.3">
      <c r="A44" s="70" t="s">
        <v>66</v>
      </c>
      <c r="B44" s="64" t="s">
        <v>27</v>
      </c>
      <c r="C44" s="65"/>
      <c r="D44" s="99" t="s">
        <v>43</v>
      </c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1"/>
      <c r="W44" s="103"/>
      <c r="X44" s="104"/>
      <c r="Y44" s="60">
        <v>2</v>
      </c>
      <c r="Z44" s="60"/>
      <c r="AA44" s="50" t="str">
        <f>IF(W44="","",(Y44*W44))</f>
        <v/>
      </c>
      <c r="AB44" s="51"/>
      <c r="AC44" s="81"/>
      <c r="AD44" s="82"/>
      <c r="AE44" s="82"/>
      <c r="AF44" s="82"/>
      <c r="AG44" s="82"/>
      <c r="AH44" s="82"/>
      <c r="AI44" s="82"/>
      <c r="AJ44" s="82"/>
      <c r="AK44" s="83"/>
      <c r="AL44" s="17"/>
      <c r="AM44" s="17"/>
      <c r="AN44" s="17"/>
      <c r="AO44" s="17"/>
      <c r="AP44" s="18"/>
      <c r="AQ44" s="19" t="s">
        <v>43</v>
      </c>
      <c r="AR44" s="16" t="str">
        <f>+AA44</f>
        <v/>
      </c>
      <c r="AS44" s="20" t="e">
        <f>AVERAGE(AR44:AR55)</f>
        <v>#DIV/0!</v>
      </c>
      <c r="AT44" s="16"/>
      <c r="AU44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</row>
    <row r="45" spans="1:64" s="5" customFormat="1" ht="29.25" customHeight="1" x14ac:dyDescent="0.3">
      <c r="A45" s="71"/>
      <c r="B45" s="66"/>
      <c r="C45" s="67"/>
      <c r="D45" s="55" t="s">
        <v>44</v>
      </c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7"/>
      <c r="W45" s="52"/>
      <c r="X45" s="53"/>
      <c r="Y45" s="54">
        <v>3</v>
      </c>
      <c r="Z45" s="54"/>
      <c r="AA45" s="50" t="str">
        <f t="shared" ref="AA45:AA51" si="1">IF(W45="","",(Y45*W45))</f>
        <v/>
      </c>
      <c r="AB45" s="51"/>
      <c r="AC45" s="73"/>
      <c r="AD45" s="74"/>
      <c r="AE45" s="74"/>
      <c r="AF45" s="74"/>
      <c r="AG45" s="74"/>
      <c r="AH45" s="74"/>
      <c r="AI45" s="74"/>
      <c r="AJ45" s="74"/>
      <c r="AK45" s="75"/>
      <c r="AL45" s="17"/>
      <c r="AM45" s="17"/>
      <c r="AN45" s="17"/>
      <c r="AO45" s="17"/>
      <c r="AP45" s="18"/>
      <c r="AQ45" s="19" t="s">
        <v>44</v>
      </c>
      <c r="AR45" s="16" t="str">
        <f t="shared" ref="AR45:AR51" si="2">+AA45</f>
        <v/>
      </c>
      <c r="AS45" s="20" t="e">
        <f>AVERAGE(AR44:AR55)</f>
        <v>#DIV/0!</v>
      </c>
      <c r="AT45" s="16"/>
      <c r="AU45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</row>
    <row r="46" spans="1:64" s="5" customFormat="1" ht="29.25" customHeight="1" x14ac:dyDescent="0.3">
      <c r="A46" s="71"/>
      <c r="B46" s="66"/>
      <c r="C46" s="67"/>
      <c r="D46" s="55" t="s">
        <v>19</v>
      </c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7"/>
      <c r="W46" s="52"/>
      <c r="X46" s="53"/>
      <c r="Y46" s="54">
        <v>1</v>
      </c>
      <c r="Z46" s="54"/>
      <c r="AA46" s="50" t="str">
        <f t="shared" si="1"/>
        <v/>
      </c>
      <c r="AB46" s="51"/>
      <c r="AC46" s="73"/>
      <c r="AD46" s="74"/>
      <c r="AE46" s="74"/>
      <c r="AF46" s="74"/>
      <c r="AG46" s="74"/>
      <c r="AH46" s="74"/>
      <c r="AI46" s="74"/>
      <c r="AJ46" s="74"/>
      <c r="AK46" s="75"/>
      <c r="AL46" s="17"/>
      <c r="AM46" s="17"/>
      <c r="AN46" s="17"/>
      <c r="AO46" s="17"/>
      <c r="AP46" s="18"/>
      <c r="AQ46" s="19" t="s">
        <v>19</v>
      </c>
      <c r="AR46" s="16" t="str">
        <f t="shared" si="2"/>
        <v/>
      </c>
      <c r="AS46" s="20" t="e">
        <f>AVERAGE(AR44:AR55)</f>
        <v>#DIV/0!</v>
      </c>
      <c r="AT46" s="16"/>
      <c r="AU46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</row>
    <row r="47" spans="1:64" s="5" customFormat="1" ht="29.25" customHeight="1" x14ac:dyDescent="0.3">
      <c r="A47" s="71"/>
      <c r="B47" s="66"/>
      <c r="C47" s="67"/>
      <c r="D47" s="55" t="s">
        <v>45</v>
      </c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7"/>
      <c r="W47" s="52"/>
      <c r="X47" s="53"/>
      <c r="Y47" s="54">
        <v>1</v>
      </c>
      <c r="Z47" s="54"/>
      <c r="AA47" s="50" t="str">
        <f t="shared" si="1"/>
        <v/>
      </c>
      <c r="AB47" s="51"/>
      <c r="AC47" s="73"/>
      <c r="AD47" s="74"/>
      <c r="AE47" s="74"/>
      <c r="AF47" s="74"/>
      <c r="AG47" s="74"/>
      <c r="AH47" s="74"/>
      <c r="AI47" s="74"/>
      <c r="AJ47" s="74"/>
      <c r="AK47" s="75"/>
      <c r="AL47" s="17"/>
      <c r="AM47" s="17"/>
      <c r="AN47" s="17"/>
      <c r="AO47" s="17"/>
      <c r="AP47" s="18"/>
      <c r="AQ47" s="19" t="s">
        <v>45</v>
      </c>
      <c r="AR47" s="16" t="str">
        <f t="shared" si="2"/>
        <v/>
      </c>
      <c r="AS47" s="20" t="e">
        <f>AVERAGE(AR44:AR55)</f>
        <v>#DIV/0!</v>
      </c>
      <c r="AT47" s="16"/>
      <c r="AU47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</row>
    <row r="48" spans="1:64" s="5" customFormat="1" ht="29.25" customHeight="1" x14ac:dyDescent="0.3">
      <c r="A48" s="71"/>
      <c r="B48" s="66"/>
      <c r="C48" s="67"/>
      <c r="D48" s="55" t="s">
        <v>20</v>
      </c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7"/>
      <c r="W48" s="52"/>
      <c r="X48" s="53"/>
      <c r="Y48" s="54">
        <v>1</v>
      </c>
      <c r="Z48" s="54"/>
      <c r="AA48" s="50" t="str">
        <f t="shared" si="1"/>
        <v/>
      </c>
      <c r="AB48" s="51"/>
      <c r="AC48" s="73"/>
      <c r="AD48" s="74"/>
      <c r="AE48" s="74"/>
      <c r="AF48" s="74"/>
      <c r="AG48" s="74"/>
      <c r="AH48" s="74"/>
      <c r="AI48" s="74"/>
      <c r="AJ48" s="74"/>
      <c r="AK48" s="75"/>
      <c r="AL48" s="17"/>
      <c r="AM48" s="17"/>
      <c r="AN48" s="17"/>
      <c r="AO48" s="17"/>
      <c r="AP48" s="18"/>
      <c r="AQ48" s="19" t="s">
        <v>20</v>
      </c>
      <c r="AR48" s="16" t="str">
        <f t="shared" si="2"/>
        <v/>
      </c>
      <c r="AS48" s="20" t="e">
        <f>AVERAGE(AR44:AR55)</f>
        <v>#DIV/0!</v>
      </c>
      <c r="AT48" s="16"/>
      <c r="AU48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</row>
    <row r="49" spans="1:64" s="5" customFormat="1" ht="29.25" customHeight="1" x14ac:dyDescent="0.3">
      <c r="A49" s="71"/>
      <c r="B49" s="66"/>
      <c r="C49" s="67"/>
      <c r="D49" s="55" t="s">
        <v>46</v>
      </c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7"/>
      <c r="W49" s="52"/>
      <c r="X49" s="53"/>
      <c r="Y49" s="54">
        <v>3</v>
      </c>
      <c r="Z49" s="54"/>
      <c r="AA49" s="50" t="str">
        <f t="shared" si="1"/>
        <v/>
      </c>
      <c r="AB49" s="51"/>
      <c r="AC49" s="73"/>
      <c r="AD49" s="74"/>
      <c r="AE49" s="74"/>
      <c r="AF49" s="74"/>
      <c r="AG49" s="74"/>
      <c r="AH49" s="74"/>
      <c r="AI49" s="74"/>
      <c r="AJ49" s="74"/>
      <c r="AK49" s="75"/>
      <c r="AL49" s="17"/>
      <c r="AM49" s="17"/>
      <c r="AN49" s="17"/>
      <c r="AO49" s="17"/>
      <c r="AP49" s="18"/>
      <c r="AQ49" s="19" t="s">
        <v>46</v>
      </c>
      <c r="AR49" s="16" t="str">
        <f t="shared" si="2"/>
        <v/>
      </c>
      <c r="AS49" s="20" t="e">
        <f>AVERAGE(AR44:AR55)</f>
        <v>#DIV/0!</v>
      </c>
      <c r="AT49" s="16"/>
      <c r="AU49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</row>
    <row r="50" spans="1:64" s="5" customFormat="1" ht="29.25" customHeight="1" x14ac:dyDescent="0.3">
      <c r="A50" s="71"/>
      <c r="B50" s="66"/>
      <c r="C50" s="67"/>
      <c r="D50" s="55" t="s">
        <v>21</v>
      </c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7"/>
      <c r="W50" s="52"/>
      <c r="X50" s="53"/>
      <c r="Y50" s="54">
        <v>2</v>
      </c>
      <c r="Z50" s="54"/>
      <c r="AA50" s="50" t="str">
        <f t="shared" si="1"/>
        <v/>
      </c>
      <c r="AB50" s="51"/>
      <c r="AC50" s="73"/>
      <c r="AD50" s="74"/>
      <c r="AE50" s="74"/>
      <c r="AF50" s="74"/>
      <c r="AG50" s="74"/>
      <c r="AH50" s="74"/>
      <c r="AI50" s="74"/>
      <c r="AJ50" s="74"/>
      <c r="AK50" s="75"/>
      <c r="AL50" s="17"/>
      <c r="AM50" s="17"/>
      <c r="AN50" s="17"/>
      <c r="AO50" s="17"/>
      <c r="AP50" s="18"/>
      <c r="AQ50" s="19" t="s">
        <v>21</v>
      </c>
      <c r="AR50" s="16" t="str">
        <f t="shared" si="2"/>
        <v/>
      </c>
      <c r="AS50" s="20" t="e">
        <f>AVERAGE(AR44:AR55)</f>
        <v>#DIV/0!</v>
      </c>
      <c r="AT50" s="16"/>
      <c r="AU50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</row>
    <row r="51" spans="1:64" ht="49.5" customHeight="1" thickBot="1" x14ac:dyDescent="0.35">
      <c r="A51" s="72"/>
      <c r="B51" s="68"/>
      <c r="C51" s="69"/>
      <c r="D51" s="157" t="s">
        <v>67</v>
      </c>
      <c r="E51" s="158"/>
      <c r="F51" s="158"/>
      <c r="G51" s="158"/>
      <c r="H51" s="158"/>
      <c r="I51" s="158"/>
      <c r="J51" s="158"/>
      <c r="K51" s="158"/>
      <c r="L51" s="158"/>
      <c r="M51" s="158"/>
      <c r="N51" s="158"/>
      <c r="O51" s="158"/>
      <c r="P51" s="158"/>
      <c r="Q51" s="158"/>
      <c r="R51" s="158"/>
      <c r="S51" s="158"/>
      <c r="T51" s="158"/>
      <c r="U51" s="158"/>
      <c r="V51" s="159"/>
      <c r="W51" s="160"/>
      <c r="X51" s="161"/>
      <c r="Y51" s="162">
        <v>2</v>
      </c>
      <c r="Z51" s="162"/>
      <c r="AA51" s="50" t="str">
        <f t="shared" si="1"/>
        <v/>
      </c>
      <c r="AB51" s="51"/>
      <c r="AC51" s="141"/>
      <c r="AD51" s="142"/>
      <c r="AE51" s="142"/>
      <c r="AF51" s="142"/>
      <c r="AG51" s="142"/>
      <c r="AH51" s="142"/>
      <c r="AI51" s="142"/>
      <c r="AJ51" s="142"/>
      <c r="AK51" s="143"/>
      <c r="AL51"/>
      <c r="AM51"/>
      <c r="AN51"/>
      <c r="AO51"/>
      <c r="AP51" s="16"/>
      <c r="AQ51" s="19" t="s">
        <v>47</v>
      </c>
      <c r="AR51" s="16" t="str">
        <f t="shared" si="2"/>
        <v/>
      </c>
      <c r="AS51" s="20" t="e">
        <f>AVERAGE(AR44:AR55)</f>
        <v>#DIV/0!</v>
      </c>
      <c r="AT51" s="16"/>
      <c r="AU51"/>
    </row>
    <row r="52" spans="1:64" ht="15" customHeight="1" thickBot="1" x14ac:dyDescent="0.35">
      <c r="A52" s="149" t="s">
        <v>26</v>
      </c>
      <c r="B52" s="150"/>
      <c r="C52" s="150"/>
      <c r="D52" s="150"/>
      <c r="E52" s="150"/>
      <c r="F52" s="150"/>
      <c r="G52" s="150"/>
      <c r="H52" s="150"/>
      <c r="I52" s="150"/>
      <c r="J52" s="150"/>
      <c r="K52" s="150"/>
      <c r="L52" s="150"/>
      <c r="M52" s="150"/>
      <c r="N52" s="150"/>
      <c r="O52" s="150"/>
      <c r="P52" s="150"/>
      <c r="Q52" s="150"/>
      <c r="R52" s="150"/>
      <c r="S52" s="150"/>
      <c r="T52" s="150"/>
      <c r="U52" s="150"/>
      <c r="V52" s="150"/>
      <c r="W52" s="150"/>
      <c r="X52" s="150"/>
      <c r="Y52" s="150"/>
      <c r="Z52" s="151"/>
      <c r="AA52" s="163" t="str">
        <f>IF(AA44="","",SUM(AA44:AB51))</f>
        <v/>
      </c>
      <c r="AB52" s="164"/>
      <c r="AC52" s="164"/>
      <c r="AD52" s="164"/>
      <c r="AE52" s="164"/>
      <c r="AF52" s="164"/>
      <c r="AG52" s="164"/>
      <c r="AH52" s="164"/>
      <c r="AI52" s="164"/>
      <c r="AJ52" s="164"/>
      <c r="AK52" s="165"/>
      <c r="AL52"/>
      <c r="AM52"/>
      <c r="AN52"/>
      <c r="AO52"/>
      <c r="AP52" s="16"/>
      <c r="AQ52" s="16"/>
      <c r="AR52" s="16"/>
      <c r="AS52" s="16"/>
      <c r="AT52" s="16"/>
      <c r="AU52"/>
    </row>
    <row r="53" spans="1:64" ht="15" thickBot="1" x14ac:dyDescent="0.35">
      <c r="A53" s="166" t="s">
        <v>23</v>
      </c>
      <c r="B53" s="167"/>
      <c r="C53" s="168"/>
      <c r="D53" s="144" t="s">
        <v>24</v>
      </c>
      <c r="E53" s="145"/>
      <c r="F53" s="145"/>
      <c r="G53" s="145"/>
      <c r="H53" s="145"/>
      <c r="I53" s="145"/>
      <c r="J53" s="145"/>
      <c r="K53" s="145"/>
      <c r="L53" s="145"/>
      <c r="M53" s="145"/>
      <c r="N53" s="145"/>
      <c r="O53" s="145"/>
      <c r="P53" s="145"/>
      <c r="Q53" s="145"/>
      <c r="R53" s="145"/>
      <c r="S53" s="145"/>
      <c r="T53" s="145"/>
      <c r="U53" s="145"/>
      <c r="V53" s="146"/>
      <c r="W53" s="169" t="str">
        <f>+W43</f>
        <v>VALOR</v>
      </c>
      <c r="X53" s="170"/>
      <c r="Y53" s="58" t="str">
        <f>+Y43</f>
        <v>POND</v>
      </c>
      <c r="Z53" s="58"/>
      <c r="AA53" s="58" t="str">
        <f>+AA43</f>
        <v>TOTAL</v>
      </c>
      <c r="AB53" s="59"/>
      <c r="AC53" s="144" t="s">
        <v>22</v>
      </c>
      <c r="AD53" s="145"/>
      <c r="AE53" s="145"/>
      <c r="AF53" s="145"/>
      <c r="AG53" s="145"/>
      <c r="AH53" s="145"/>
      <c r="AI53" s="145"/>
      <c r="AJ53" s="145"/>
      <c r="AK53" s="146"/>
      <c r="AL53"/>
      <c r="AM53"/>
      <c r="AN53"/>
      <c r="AO53"/>
      <c r="AP53" s="16"/>
      <c r="AQ53" s="16"/>
      <c r="AR53" s="16"/>
      <c r="AS53" s="16"/>
      <c r="AT53" s="16"/>
      <c r="AU53"/>
    </row>
    <row r="54" spans="1:64" ht="30" customHeight="1" x14ac:dyDescent="0.3">
      <c r="A54" s="184" t="s">
        <v>57</v>
      </c>
      <c r="B54" s="180" t="s">
        <v>56</v>
      </c>
      <c r="C54" s="181"/>
      <c r="D54" s="174" t="s">
        <v>28</v>
      </c>
      <c r="E54" s="175"/>
      <c r="F54" s="175"/>
      <c r="G54" s="175"/>
      <c r="H54" s="175"/>
      <c r="I54" s="175"/>
      <c r="J54" s="175"/>
      <c r="K54" s="175"/>
      <c r="L54" s="175"/>
      <c r="M54" s="175"/>
      <c r="N54" s="175"/>
      <c r="O54" s="175"/>
      <c r="P54" s="175"/>
      <c r="Q54" s="175"/>
      <c r="R54" s="175"/>
      <c r="S54" s="175"/>
      <c r="T54" s="175"/>
      <c r="U54" s="175"/>
      <c r="V54" s="176"/>
      <c r="W54" s="177"/>
      <c r="X54" s="178"/>
      <c r="Y54" s="167">
        <v>2</v>
      </c>
      <c r="Z54" s="167"/>
      <c r="AA54" s="152" t="str">
        <f>IF(W54="","",(Y54*W54))</f>
        <v/>
      </c>
      <c r="AB54" s="153"/>
      <c r="AC54" s="154"/>
      <c r="AD54" s="155"/>
      <c r="AE54" s="155"/>
      <c r="AF54" s="155"/>
      <c r="AG54" s="155"/>
      <c r="AH54" s="155"/>
      <c r="AI54" s="155"/>
      <c r="AJ54" s="155"/>
      <c r="AK54" s="156"/>
      <c r="AL54"/>
      <c r="AM54"/>
      <c r="AN54"/>
      <c r="AO54"/>
      <c r="AP54" s="16"/>
      <c r="AQ54" s="16" t="str">
        <f>+D54</f>
        <v>Se identifica y documentan  Roles y Responsabilidades del personal involucrado en izaje de cargas</v>
      </c>
      <c r="AR54" s="16" t="str">
        <f>+AA54</f>
        <v/>
      </c>
      <c r="AS54" s="16" t="e">
        <f t="shared" ref="AS54:AS65" si="3">AVERAGE(AR$54:AR$65)</f>
        <v>#DIV/0!</v>
      </c>
      <c r="AT54" s="16"/>
      <c r="AU54"/>
    </row>
    <row r="55" spans="1:64" ht="30" customHeight="1" x14ac:dyDescent="0.3">
      <c r="A55" s="185"/>
      <c r="B55" s="182"/>
      <c r="C55" s="183"/>
      <c r="D55" s="55" t="s">
        <v>29</v>
      </c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7"/>
      <c r="W55" s="52"/>
      <c r="X55" s="53"/>
      <c r="Y55" s="54">
        <v>3</v>
      </c>
      <c r="Z55" s="54"/>
      <c r="AA55" s="147" t="str">
        <f t="shared" ref="AA55:AA65" si="4">IF(W55="","",(Y55*W55))</f>
        <v/>
      </c>
      <c r="AB55" s="148"/>
      <c r="AC55" s="73"/>
      <c r="AD55" s="74"/>
      <c r="AE55" s="74"/>
      <c r="AF55" s="74"/>
      <c r="AG55" s="74"/>
      <c r="AH55" s="74"/>
      <c r="AI55" s="74"/>
      <c r="AJ55" s="74"/>
      <c r="AK55" s="75"/>
      <c r="AL55"/>
      <c r="AM55"/>
      <c r="AN55"/>
      <c r="AO55"/>
      <c r="AP55" s="16"/>
      <c r="AQ55" s="16" t="str">
        <f t="shared" ref="AQ55:AQ65" si="5">+D55</f>
        <v>Se han determinado los requisitos del perfil de cargo para el personal involucrado  en izaje de cargas</v>
      </c>
      <c r="AR55" s="16" t="str">
        <f t="shared" ref="AR55:AR65" si="6">+AA55</f>
        <v/>
      </c>
      <c r="AS55" s="16" t="e">
        <f t="shared" si="3"/>
        <v>#DIV/0!</v>
      </c>
      <c r="AT55" s="16"/>
      <c r="AU55"/>
    </row>
    <row r="56" spans="1:64" ht="30" customHeight="1" x14ac:dyDescent="0.3">
      <c r="A56" s="185"/>
      <c r="B56" s="182"/>
      <c r="C56" s="183"/>
      <c r="D56" s="55" t="s">
        <v>76</v>
      </c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7"/>
      <c r="W56" s="52"/>
      <c r="X56" s="53"/>
      <c r="Y56" s="54">
        <v>1</v>
      </c>
      <c r="Z56" s="54"/>
      <c r="AA56" s="147" t="str">
        <f t="shared" si="4"/>
        <v/>
      </c>
      <c r="AB56" s="148"/>
      <c r="AC56" s="73"/>
      <c r="AD56" s="74"/>
      <c r="AE56" s="74"/>
      <c r="AF56" s="74"/>
      <c r="AG56" s="74"/>
      <c r="AH56" s="74"/>
      <c r="AI56" s="74"/>
      <c r="AJ56" s="74"/>
      <c r="AK56" s="75"/>
      <c r="AL56"/>
      <c r="AM56"/>
      <c r="AN56"/>
      <c r="AO56"/>
      <c r="AP56" s="16"/>
      <c r="AQ56" s="16" t="str">
        <f t="shared" si="5"/>
        <v xml:space="preserve">El personal asignando al izaje de cargas  y en operación actual cumple con el perfil definido por al empresa.  </v>
      </c>
      <c r="AR56" s="16" t="str">
        <f t="shared" si="6"/>
        <v/>
      </c>
      <c r="AS56" s="16" t="e">
        <f t="shared" si="3"/>
        <v>#DIV/0!</v>
      </c>
      <c r="AT56" s="16"/>
      <c r="AU56"/>
    </row>
    <row r="57" spans="1:64" ht="30" customHeight="1" x14ac:dyDescent="0.3">
      <c r="A57" s="185"/>
      <c r="B57" s="182"/>
      <c r="C57" s="183"/>
      <c r="D57" s="55" t="s">
        <v>30</v>
      </c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7"/>
      <c r="W57" s="52"/>
      <c r="X57" s="53"/>
      <c r="Y57" s="54">
        <v>1</v>
      </c>
      <c r="Z57" s="54"/>
      <c r="AA57" s="147" t="str">
        <f t="shared" si="4"/>
        <v/>
      </c>
      <c r="AB57" s="148"/>
      <c r="AC57" s="73"/>
      <c r="AD57" s="74"/>
      <c r="AE57" s="74"/>
      <c r="AF57" s="74"/>
      <c r="AG57" s="74"/>
      <c r="AH57" s="74"/>
      <c r="AI57" s="74"/>
      <c r="AJ57" s="74"/>
      <c r="AK57" s="75"/>
      <c r="AL57"/>
      <c r="AM57"/>
      <c r="AN57"/>
      <c r="AO57"/>
      <c r="AP57" s="16"/>
      <c r="AQ57" s="16" t="str">
        <f t="shared" si="5"/>
        <v>El personal conoce sus funciones y responsabilidades generales y especificas asociadas a las labores de izajes carga</v>
      </c>
      <c r="AR57" s="16" t="str">
        <f t="shared" si="6"/>
        <v/>
      </c>
      <c r="AS57" s="16" t="e">
        <f t="shared" si="3"/>
        <v>#DIV/0!</v>
      </c>
      <c r="AT57" s="16"/>
      <c r="AU57"/>
    </row>
    <row r="58" spans="1:64" ht="35.25" customHeight="1" x14ac:dyDescent="0.3">
      <c r="A58" s="185"/>
      <c r="B58" s="182"/>
      <c r="C58" s="183"/>
      <c r="D58" s="55" t="s">
        <v>40</v>
      </c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7"/>
      <c r="W58" s="52"/>
      <c r="X58" s="53"/>
      <c r="Y58" s="54">
        <v>1</v>
      </c>
      <c r="Z58" s="54"/>
      <c r="AA58" s="147" t="str">
        <f t="shared" si="4"/>
        <v/>
      </c>
      <c r="AB58" s="148"/>
      <c r="AC58" s="73"/>
      <c r="AD58" s="74"/>
      <c r="AE58" s="74"/>
      <c r="AF58" s="74"/>
      <c r="AG58" s="74"/>
      <c r="AH58" s="74"/>
      <c r="AI58" s="74"/>
      <c r="AJ58" s="74"/>
      <c r="AK58" s="75"/>
      <c r="AL58"/>
      <c r="AM58"/>
      <c r="AN58"/>
      <c r="AO58"/>
      <c r="AP58" s="16"/>
      <c r="AQ58" s="16" t="str">
        <f t="shared" si="5"/>
        <v>La empresa realiza evaluaciones de desempeño Teórico prácticas periódicas al personal  responsable del proceso de izaje</v>
      </c>
      <c r="AR58" s="16" t="str">
        <f t="shared" si="6"/>
        <v/>
      </c>
      <c r="AS58" s="16" t="e">
        <f t="shared" si="3"/>
        <v>#DIV/0!</v>
      </c>
      <c r="AT58" s="16"/>
      <c r="AU58"/>
    </row>
    <row r="59" spans="1:64" ht="30" customHeight="1" x14ac:dyDescent="0.3">
      <c r="A59" s="185"/>
      <c r="B59" s="182"/>
      <c r="C59" s="183"/>
      <c r="D59" s="55" t="s">
        <v>31</v>
      </c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7"/>
      <c r="W59" s="52"/>
      <c r="X59" s="53"/>
      <c r="Y59" s="54">
        <v>3</v>
      </c>
      <c r="Z59" s="54"/>
      <c r="AA59" s="147" t="str">
        <f t="shared" si="4"/>
        <v/>
      </c>
      <c r="AB59" s="148"/>
      <c r="AC59" s="73"/>
      <c r="AD59" s="74"/>
      <c r="AE59" s="74"/>
      <c r="AF59" s="74"/>
      <c r="AG59" s="74"/>
      <c r="AH59" s="74"/>
      <c r="AI59" s="74"/>
      <c r="AJ59" s="74"/>
      <c r="AK59" s="75"/>
      <c r="AL59"/>
      <c r="AM59"/>
      <c r="AN59"/>
      <c r="AO59"/>
      <c r="AP59" s="16"/>
      <c r="AQ59" s="16" t="str">
        <f t="shared" si="5"/>
        <v>Los resultados de la evaluaciones de desempeño son socializados al personal</v>
      </c>
      <c r="AR59" s="16" t="str">
        <f t="shared" si="6"/>
        <v/>
      </c>
      <c r="AS59" s="16" t="e">
        <f t="shared" si="3"/>
        <v>#DIV/0!</v>
      </c>
      <c r="AT59" s="16"/>
      <c r="AU59"/>
    </row>
    <row r="60" spans="1:64" ht="30" customHeight="1" x14ac:dyDescent="0.3">
      <c r="A60" s="185"/>
      <c r="B60" s="182"/>
      <c r="C60" s="183"/>
      <c r="D60" s="55" t="s">
        <v>41</v>
      </c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7"/>
      <c r="W60" s="52"/>
      <c r="X60" s="53"/>
      <c r="Y60" s="54">
        <v>2</v>
      </c>
      <c r="Z60" s="54"/>
      <c r="AA60" s="147" t="str">
        <f t="shared" si="4"/>
        <v/>
      </c>
      <c r="AB60" s="148"/>
      <c r="AC60" s="73"/>
      <c r="AD60" s="74"/>
      <c r="AE60" s="74"/>
      <c r="AF60" s="74"/>
      <c r="AG60" s="74"/>
      <c r="AH60" s="74"/>
      <c r="AI60" s="74"/>
      <c r="AJ60" s="74"/>
      <c r="AK60" s="75"/>
      <c r="AL60"/>
      <c r="AM60"/>
      <c r="AN60"/>
      <c r="AO60"/>
      <c r="AP60" s="16"/>
      <c r="AQ60" s="16" t="str">
        <f t="shared" si="5"/>
        <v>Se establecen planes de acción basados en los resultados de las evaluaciones de desempeño</v>
      </c>
      <c r="AR60" s="16" t="str">
        <f t="shared" si="6"/>
        <v/>
      </c>
      <c r="AS60" s="16" t="e">
        <f t="shared" si="3"/>
        <v>#DIV/0!</v>
      </c>
      <c r="AT60" s="16"/>
      <c r="AU60"/>
    </row>
    <row r="61" spans="1:64" ht="41.25" customHeight="1" x14ac:dyDescent="0.3">
      <c r="A61" s="185"/>
      <c r="B61" s="182"/>
      <c r="C61" s="183"/>
      <c r="D61" s="55" t="s">
        <v>42</v>
      </c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7"/>
      <c r="W61" s="52"/>
      <c r="X61" s="53"/>
      <c r="Y61" s="54">
        <v>2</v>
      </c>
      <c r="Z61" s="54"/>
      <c r="AA61" s="147" t="str">
        <f t="shared" si="4"/>
        <v/>
      </c>
      <c r="AB61" s="148"/>
      <c r="AC61" s="73"/>
      <c r="AD61" s="74"/>
      <c r="AE61" s="74"/>
      <c r="AF61" s="74"/>
      <c r="AG61" s="74"/>
      <c r="AH61" s="74"/>
      <c r="AI61" s="74"/>
      <c r="AJ61" s="74"/>
      <c r="AK61" s="75"/>
      <c r="AL61"/>
      <c r="AM61"/>
      <c r="AN61"/>
      <c r="AO61"/>
      <c r="AP61" s="16"/>
      <c r="AQ61" s="16" t="str">
        <f t="shared" si="5"/>
        <v>La empresa ha establecido y desarrollado un programa de capacitación y enteramiento en izaje de cargas, con cobertura a todo el personal involucrado en las operaciones de izajes.</v>
      </c>
      <c r="AR61" s="16" t="str">
        <f t="shared" si="6"/>
        <v/>
      </c>
      <c r="AS61" s="16" t="e">
        <f t="shared" si="3"/>
        <v>#DIV/0!</v>
      </c>
      <c r="AT61" s="16"/>
      <c r="AU61"/>
    </row>
    <row r="62" spans="1:64" ht="41.25" customHeight="1" x14ac:dyDescent="0.3">
      <c r="A62" s="185"/>
      <c r="B62" s="182"/>
      <c r="C62" s="183"/>
      <c r="D62" s="40" t="s">
        <v>77</v>
      </c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2"/>
      <c r="W62" s="52"/>
      <c r="X62" s="53"/>
      <c r="Y62" s="54">
        <v>3</v>
      </c>
      <c r="Z62" s="54"/>
      <c r="AA62" s="147" t="str">
        <f t="shared" si="4"/>
        <v/>
      </c>
      <c r="AB62" s="148"/>
      <c r="AC62" s="73"/>
      <c r="AD62" s="74"/>
      <c r="AE62" s="74"/>
      <c r="AF62" s="74"/>
      <c r="AG62" s="74"/>
      <c r="AH62" s="74"/>
      <c r="AI62" s="74"/>
      <c r="AJ62" s="74"/>
      <c r="AK62" s="75"/>
      <c r="AL62"/>
      <c r="AM62"/>
      <c r="AN62"/>
      <c r="AO62"/>
      <c r="AP62" s="16"/>
      <c r="AQ62" s="16" t="str">
        <f t="shared" si="5"/>
        <v>La empresa cuenta con un procedimiento interno para la evaluación del personal involucrado en actividades de izaje de cargas</v>
      </c>
      <c r="AR62" s="16" t="str">
        <f t="shared" si="6"/>
        <v/>
      </c>
      <c r="AS62" s="16" t="e">
        <f t="shared" si="3"/>
        <v>#DIV/0!</v>
      </c>
      <c r="AT62" s="16"/>
      <c r="AU62"/>
    </row>
    <row r="63" spans="1:64" ht="40.5" customHeight="1" x14ac:dyDescent="0.3">
      <c r="A63" s="185"/>
      <c r="B63" s="182"/>
      <c r="C63" s="183"/>
      <c r="D63" s="55" t="s">
        <v>78</v>
      </c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7"/>
      <c r="W63" s="52"/>
      <c r="X63" s="53"/>
      <c r="Y63" s="54">
        <v>3</v>
      </c>
      <c r="Z63" s="54"/>
      <c r="AA63" s="147" t="str">
        <f t="shared" si="4"/>
        <v/>
      </c>
      <c r="AB63" s="148"/>
      <c r="AC63" s="171"/>
      <c r="AD63" s="172"/>
      <c r="AE63" s="172"/>
      <c r="AF63" s="172"/>
      <c r="AG63" s="172"/>
      <c r="AH63" s="172"/>
      <c r="AI63" s="172"/>
      <c r="AJ63" s="172"/>
      <c r="AK63" s="173"/>
      <c r="AL63"/>
      <c r="AM63"/>
      <c r="AN63"/>
      <c r="AO63"/>
      <c r="AP63" s="16"/>
      <c r="AQ63" s="16" t="str">
        <f t="shared" si="5"/>
        <v xml:space="preserve">El personal asignado como  operadores de equipos de izaje, cuentan con certificación de competencias emitido por entes acreditados por ONAC </v>
      </c>
      <c r="AR63" s="16" t="str">
        <f t="shared" si="6"/>
        <v/>
      </c>
      <c r="AS63" s="16" t="e">
        <f t="shared" si="3"/>
        <v>#DIV/0!</v>
      </c>
      <c r="AT63" s="16"/>
      <c r="AU63"/>
    </row>
    <row r="64" spans="1:64" ht="40.5" customHeight="1" x14ac:dyDescent="0.3">
      <c r="A64" s="185"/>
      <c r="B64" s="182"/>
      <c r="C64" s="183"/>
      <c r="D64" s="55" t="s">
        <v>32</v>
      </c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7"/>
      <c r="W64" s="52"/>
      <c r="X64" s="53"/>
      <c r="Y64" s="54">
        <v>3</v>
      </c>
      <c r="Z64" s="54"/>
      <c r="AA64" s="147" t="str">
        <f t="shared" si="4"/>
        <v/>
      </c>
      <c r="AB64" s="148"/>
      <c r="AC64" s="171"/>
      <c r="AD64" s="172"/>
      <c r="AE64" s="172"/>
      <c r="AF64" s="172"/>
      <c r="AG64" s="172"/>
      <c r="AH64" s="172"/>
      <c r="AI64" s="172"/>
      <c r="AJ64" s="172"/>
      <c r="AK64" s="173"/>
      <c r="AL64"/>
      <c r="AM64"/>
      <c r="AN64"/>
      <c r="AO64"/>
      <c r="AP64" s="16"/>
      <c r="AQ64" s="16" t="str">
        <f t="shared" si="5"/>
        <v xml:space="preserve">El personal asignados como aparejadores cuentan con certificación de competencias emitido por entes acreditados por ONAC </v>
      </c>
      <c r="AR64" s="16" t="str">
        <f t="shared" si="6"/>
        <v/>
      </c>
      <c r="AS64" s="16" t="e">
        <f t="shared" si="3"/>
        <v>#DIV/0!</v>
      </c>
      <c r="AT64" s="16"/>
      <c r="AU64"/>
    </row>
    <row r="65" spans="1:47" ht="40.5" customHeight="1" thickBot="1" x14ac:dyDescent="0.35">
      <c r="A65" s="185"/>
      <c r="B65" s="182"/>
      <c r="C65" s="183"/>
      <c r="D65" s="186" t="s">
        <v>71</v>
      </c>
      <c r="E65" s="187"/>
      <c r="F65" s="187"/>
      <c r="G65" s="187"/>
      <c r="H65" s="187"/>
      <c r="I65" s="187"/>
      <c r="J65" s="187"/>
      <c r="K65" s="187"/>
      <c r="L65" s="187"/>
      <c r="M65" s="187"/>
      <c r="N65" s="187"/>
      <c r="O65" s="187"/>
      <c r="P65" s="187"/>
      <c r="Q65" s="187"/>
      <c r="R65" s="187"/>
      <c r="S65" s="187"/>
      <c r="T65" s="187"/>
      <c r="U65" s="187"/>
      <c r="V65" s="188"/>
      <c r="W65" s="189"/>
      <c r="X65" s="190"/>
      <c r="Y65" s="191">
        <v>3</v>
      </c>
      <c r="Z65" s="191"/>
      <c r="AA65" s="192" t="str">
        <f t="shared" si="4"/>
        <v/>
      </c>
      <c r="AB65" s="193"/>
      <c r="AC65" s="194"/>
      <c r="AD65" s="195"/>
      <c r="AE65" s="195"/>
      <c r="AF65" s="195"/>
      <c r="AG65" s="195"/>
      <c r="AH65" s="195"/>
      <c r="AI65" s="195"/>
      <c r="AJ65" s="195"/>
      <c r="AK65" s="196"/>
      <c r="AL65"/>
      <c r="AM65"/>
      <c r="AN65"/>
      <c r="AO65"/>
      <c r="AP65" s="16"/>
      <c r="AQ65" s="16" t="str">
        <f t="shared" si="5"/>
        <v xml:space="preserve">el personal asigando como supervisores  en izaje de carga con grúas cuentan con Certificación de competencias emitido por entes acreditados por ONAC </v>
      </c>
      <c r="AR65" s="16" t="str">
        <f t="shared" si="6"/>
        <v/>
      </c>
      <c r="AS65" s="16" t="e">
        <f t="shared" si="3"/>
        <v>#DIV/0!</v>
      </c>
      <c r="AT65" s="16"/>
      <c r="AU65"/>
    </row>
    <row r="66" spans="1:47" ht="15" thickBot="1" x14ac:dyDescent="0.35">
      <c r="A66" s="149" t="s">
        <v>33</v>
      </c>
      <c r="B66" s="150"/>
      <c r="C66" s="150"/>
      <c r="D66" s="150"/>
      <c r="E66" s="150"/>
      <c r="F66" s="150"/>
      <c r="G66" s="150"/>
      <c r="H66" s="150"/>
      <c r="I66" s="150"/>
      <c r="J66" s="150"/>
      <c r="K66" s="150"/>
      <c r="L66" s="150"/>
      <c r="M66" s="150"/>
      <c r="N66" s="150"/>
      <c r="O66" s="150"/>
      <c r="P66" s="150"/>
      <c r="Q66" s="150"/>
      <c r="R66" s="150"/>
      <c r="S66" s="150"/>
      <c r="T66" s="150"/>
      <c r="U66" s="150"/>
      <c r="V66" s="150"/>
      <c r="W66" s="150"/>
      <c r="X66" s="150"/>
      <c r="Y66" s="150"/>
      <c r="Z66" s="151"/>
      <c r="AA66" s="197" t="str">
        <f>IF(AA54="","",SUM(AA54:AB65))</f>
        <v/>
      </c>
      <c r="AB66" s="198"/>
      <c r="AC66" s="164"/>
      <c r="AD66" s="164"/>
      <c r="AE66" s="164"/>
      <c r="AF66" s="164"/>
      <c r="AG66" s="164"/>
      <c r="AH66" s="164"/>
      <c r="AI66" s="164"/>
      <c r="AJ66" s="164"/>
      <c r="AK66" s="165"/>
      <c r="AL66"/>
      <c r="AM66"/>
      <c r="AN66"/>
      <c r="AO66"/>
      <c r="AP66" s="16"/>
      <c r="AQ66" s="16"/>
      <c r="AR66" s="16"/>
      <c r="AS66" s="16"/>
      <c r="AT66" s="16"/>
      <c r="AU66"/>
    </row>
    <row r="67" spans="1:47" ht="15" thickBot="1" x14ac:dyDescent="0.35">
      <c r="A67" s="61" t="s">
        <v>23</v>
      </c>
      <c r="B67" s="62"/>
      <c r="C67" s="63"/>
      <c r="D67" s="61" t="s">
        <v>24</v>
      </c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3"/>
      <c r="W67" s="98" t="str">
        <f>+W43</f>
        <v>VALOR</v>
      </c>
      <c r="X67" s="95"/>
      <c r="Y67" s="97" t="str">
        <f>+Y43</f>
        <v>POND</v>
      </c>
      <c r="Z67" s="97"/>
      <c r="AA67" s="58" t="str">
        <f>+AA43</f>
        <v>TOTAL</v>
      </c>
      <c r="AB67" s="59"/>
      <c r="AC67" s="179" t="s">
        <v>22</v>
      </c>
      <c r="AD67" s="62"/>
      <c r="AE67" s="62"/>
      <c r="AF67" s="62"/>
      <c r="AG67" s="62"/>
      <c r="AH67" s="62"/>
      <c r="AI67" s="62"/>
      <c r="AJ67" s="62"/>
      <c r="AK67" s="63"/>
      <c r="AL67"/>
      <c r="AM67"/>
      <c r="AN67"/>
      <c r="AO67"/>
      <c r="AP67" s="16"/>
      <c r="AQ67" s="16"/>
      <c r="AR67" s="16"/>
      <c r="AS67" s="16"/>
      <c r="AT67" s="16"/>
      <c r="AU67"/>
    </row>
    <row r="68" spans="1:47" ht="36.75" customHeight="1" x14ac:dyDescent="0.3">
      <c r="A68" s="206" t="s">
        <v>54</v>
      </c>
      <c r="B68" s="201" t="s">
        <v>55</v>
      </c>
      <c r="C68" s="202"/>
      <c r="D68" s="31" t="s">
        <v>79</v>
      </c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3"/>
      <c r="W68" s="177"/>
      <c r="X68" s="178"/>
      <c r="Y68" s="167">
        <v>3</v>
      </c>
      <c r="Z68" s="167"/>
      <c r="AA68" s="219" t="str">
        <f>IF(W68="","",(Y68*W68))</f>
        <v/>
      </c>
      <c r="AB68" s="220"/>
      <c r="AC68" s="221"/>
      <c r="AD68" s="222"/>
      <c r="AE68" s="222"/>
      <c r="AF68" s="222"/>
      <c r="AG68" s="222"/>
      <c r="AH68" s="222"/>
      <c r="AI68" s="222"/>
      <c r="AJ68" s="222"/>
      <c r="AK68" s="223"/>
      <c r="AL68"/>
      <c r="AM68"/>
      <c r="AN68"/>
      <c r="AO68"/>
      <c r="AP68" s="16"/>
      <c r="AQ68" s="16" t="str">
        <f>+D68</f>
        <v>La empresa ha establecido  un programa de inspecciones pre operacionales  en donde se cubran todos los equipos y elementos de izaje  de uso y en uso por la empresa?</v>
      </c>
      <c r="AR68" s="16" t="str">
        <f>+AA68</f>
        <v/>
      </c>
      <c r="AS68" s="16" t="e">
        <f>+AVERAGE(AA$68:AB$76)</f>
        <v>#DIV/0!</v>
      </c>
      <c r="AT68" s="16"/>
      <c r="AU68"/>
    </row>
    <row r="69" spans="1:47" ht="34.5" customHeight="1" x14ac:dyDescent="0.3">
      <c r="A69" s="185"/>
      <c r="B69" s="182"/>
      <c r="C69" s="203"/>
      <c r="D69" s="31" t="s">
        <v>72</v>
      </c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3"/>
      <c r="W69" s="52"/>
      <c r="X69" s="53"/>
      <c r="Y69" s="54">
        <v>3</v>
      </c>
      <c r="Z69" s="54"/>
      <c r="AA69" s="208" t="str">
        <f t="shared" ref="AA69:AA76" si="7">IF(W69="","",(Y69*W69))</f>
        <v/>
      </c>
      <c r="AB69" s="209"/>
      <c r="AC69" s="171"/>
      <c r="AD69" s="172"/>
      <c r="AE69" s="172"/>
      <c r="AF69" s="172"/>
      <c r="AG69" s="172"/>
      <c r="AH69" s="172"/>
      <c r="AI69" s="172"/>
      <c r="AJ69" s="172"/>
      <c r="AK69" s="173"/>
      <c r="AL69"/>
      <c r="AM69"/>
      <c r="AN69"/>
      <c r="AO69"/>
      <c r="AP69" s="16"/>
      <c r="AQ69" s="16" t="str">
        <f t="shared" ref="AQ69:AQ76" si="8">+D69</f>
        <v>El personal involucrado ( operador - mecanicos - supervisores ) en las operaciones de izaje de cargas conoce el programa de inspección</v>
      </c>
      <c r="AR69" s="16" t="str">
        <f t="shared" ref="AR69:AR76" si="9">+AA69</f>
        <v/>
      </c>
      <c r="AS69" s="16" t="e">
        <f t="shared" ref="AS69:AS74" si="10">+AVERAGE(AA$68:AB$76)</f>
        <v>#DIV/0!</v>
      </c>
      <c r="AT69" s="16"/>
      <c r="AU69"/>
    </row>
    <row r="70" spans="1:47" ht="27" customHeight="1" x14ac:dyDescent="0.3">
      <c r="A70" s="185"/>
      <c r="B70" s="182"/>
      <c r="C70" s="203"/>
      <c r="D70" s="31" t="s">
        <v>37</v>
      </c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3"/>
      <c r="W70" s="52"/>
      <c r="X70" s="53"/>
      <c r="Y70" s="54">
        <v>3</v>
      </c>
      <c r="Z70" s="54"/>
      <c r="AA70" s="208" t="str">
        <f t="shared" si="7"/>
        <v/>
      </c>
      <c r="AB70" s="209"/>
      <c r="AC70" s="171"/>
      <c r="AD70" s="172"/>
      <c r="AE70" s="172"/>
      <c r="AF70" s="172"/>
      <c r="AG70" s="172"/>
      <c r="AH70" s="172"/>
      <c r="AI70" s="172"/>
      <c r="AJ70" s="172"/>
      <c r="AK70" s="173"/>
      <c r="AL70"/>
      <c r="AM70"/>
      <c r="AN70"/>
      <c r="AO70"/>
      <c r="AP70" s="16"/>
      <c r="AQ70" s="16" t="str">
        <f t="shared" si="8"/>
        <v>Se observa registros de inspecciones pre-operacionales de los equipos de izaje en operación al momento de este diagnóstico</v>
      </c>
      <c r="AR70" s="16" t="str">
        <f t="shared" si="9"/>
        <v/>
      </c>
      <c r="AS70" s="16" t="e">
        <f t="shared" si="10"/>
        <v>#DIV/0!</v>
      </c>
      <c r="AT70" s="16"/>
      <c r="AU70"/>
    </row>
    <row r="71" spans="1:47" ht="35.25" customHeight="1" x14ac:dyDescent="0.3">
      <c r="A71" s="185"/>
      <c r="B71" s="182"/>
      <c r="C71" s="203"/>
      <c r="D71" s="31" t="s">
        <v>38</v>
      </c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3"/>
      <c r="W71" s="52"/>
      <c r="X71" s="53"/>
      <c r="Y71" s="54">
        <v>2</v>
      </c>
      <c r="Z71" s="54"/>
      <c r="AA71" s="208" t="str">
        <f t="shared" si="7"/>
        <v/>
      </c>
      <c r="AB71" s="209"/>
      <c r="AC71" s="171"/>
      <c r="AD71" s="172"/>
      <c r="AE71" s="172"/>
      <c r="AF71" s="172"/>
      <c r="AG71" s="172"/>
      <c r="AH71" s="172"/>
      <c r="AI71" s="172"/>
      <c r="AJ71" s="172"/>
      <c r="AK71" s="173"/>
      <c r="AL71"/>
      <c r="AM71"/>
      <c r="AN71"/>
      <c r="AO71"/>
      <c r="AP71" s="16"/>
      <c r="AQ71" s="16" t="str">
        <f t="shared" si="8"/>
        <v>Frente a los hallazgos de las inspecciones pre operacionales se observa planes de acción de cierre y prevención de recurrencia de hallazgos</v>
      </c>
      <c r="AR71" s="16" t="str">
        <f t="shared" si="9"/>
        <v/>
      </c>
      <c r="AS71" s="16" t="e">
        <f t="shared" si="10"/>
        <v>#DIV/0!</v>
      </c>
      <c r="AT71" s="16"/>
      <c r="AU71"/>
    </row>
    <row r="72" spans="1:47" ht="37.5" customHeight="1" x14ac:dyDescent="0.3">
      <c r="A72" s="185"/>
      <c r="B72" s="182"/>
      <c r="C72" s="203"/>
      <c r="D72" s="31" t="s">
        <v>80</v>
      </c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3"/>
      <c r="W72" s="52"/>
      <c r="X72" s="53"/>
      <c r="Y72" s="54">
        <v>3</v>
      </c>
      <c r="Z72" s="54"/>
      <c r="AA72" s="208" t="str">
        <f t="shared" si="7"/>
        <v/>
      </c>
      <c r="AB72" s="209"/>
      <c r="AC72" s="171"/>
      <c r="AD72" s="172"/>
      <c r="AE72" s="172"/>
      <c r="AF72" s="172"/>
      <c r="AG72" s="172"/>
      <c r="AH72" s="172"/>
      <c r="AI72" s="172"/>
      <c r="AJ72" s="172"/>
      <c r="AK72" s="173"/>
      <c r="AL72"/>
      <c r="AM72"/>
      <c r="AN72"/>
      <c r="AO72"/>
      <c r="AP72" s="16"/>
      <c r="AQ72" s="16" t="str">
        <f t="shared" si="8"/>
        <v>La empresa cuenta con un programa de  Mantenimiento Preventivo para  todos los equipos de izajes y accesorios.</v>
      </c>
      <c r="AR72" s="16" t="str">
        <f t="shared" si="9"/>
        <v/>
      </c>
      <c r="AS72" s="16" t="e">
        <f t="shared" si="10"/>
        <v>#DIV/0!</v>
      </c>
      <c r="AT72" s="16"/>
      <c r="AU72"/>
    </row>
    <row r="73" spans="1:47" ht="38.25" customHeight="1" x14ac:dyDescent="0.3">
      <c r="A73" s="185"/>
      <c r="B73" s="182"/>
      <c r="C73" s="203"/>
      <c r="D73" s="31" t="s">
        <v>39</v>
      </c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3"/>
      <c r="W73" s="52"/>
      <c r="X73" s="53"/>
      <c r="Y73" s="54">
        <v>2</v>
      </c>
      <c r="Z73" s="54"/>
      <c r="AA73" s="208" t="str">
        <f t="shared" si="7"/>
        <v/>
      </c>
      <c r="AB73" s="209"/>
      <c r="AC73" s="171"/>
      <c r="AD73" s="172"/>
      <c r="AE73" s="172"/>
      <c r="AF73" s="172"/>
      <c r="AG73" s="172"/>
      <c r="AH73" s="172"/>
      <c r="AI73" s="172"/>
      <c r="AJ73" s="172"/>
      <c r="AK73" s="173"/>
      <c r="AL73"/>
      <c r="AM73"/>
      <c r="AN73"/>
      <c r="AO73"/>
      <c r="AP73" s="16"/>
      <c r="AQ73" s="16" t="str">
        <f t="shared" si="8"/>
        <v>Se observan registros de control o hoja de vida individual de los equipos de izaje en donde se evidencie las intervenciones por mantenimiento o reparación</v>
      </c>
      <c r="AR73" s="16" t="str">
        <f t="shared" si="9"/>
        <v/>
      </c>
      <c r="AS73" s="16" t="e">
        <f t="shared" si="10"/>
        <v>#DIV/0!</v>
      </c>
      <c r="AT73" s="16"/>
      <c r="AU73"/>
    </row>
    <row r="74" spans="1:47" ht="29.25" customHeight="1" x14ac:dyDescent="0.3">
      <c r="A74" s="185"/>
      <c r="B74" s="182"/>
      <c r="C74" s="203"/>
      <c r="D74" s="31" t="s">
        <v>81</v>
      </c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3"/>
      <c r="W74" s="52"/>
      <c r="X74" s="53"/>
      <c r="Y74" s="54">
        <v>2</v>
      </c>
      <c r="Z74" s="54"/>
      <c r="AA74" s="208" t="str">
        <f t="shared" si="7"/>
        <v/>
      </c>
      <c r="AB74" s="209"/>
      <c r="AC74" s="171"/>
      <c r="AD74" s="172"/>
      <c r="AE74" s="172"/>
      <c r="AF74" s="172"/>
      <c r="AG74" s="172"/>
      <c r="AH74" s="172"/>
      <c r="AI74" s="172"/>
      <c r="AJ74" s="172"/>
      <c r="AK74" s="173"/>
      <c r="AL74"/>
      <c r="AM74"/>
      <c r="AN74"/>
      <c r="AO74"/>
      <c r="AP74" s="16"/>
      <c r="AQ74" s="16" t="str">
        <f t="shared" si="8"/>
        <v>Los equipos de izaje de carga se encuentran con certificados de inspección emitido por entidades acreditadas por ONAC</v>
      </c>
      <c r="AR74" s="16" t="str">
        <f t="shared" si="9"/>
        <v/>
      </c>
      <c r="AS74" s="16" t="e">
        <f t="shared" si="10"/>
        <v>#DIV/0!</v>
      </c>
      <c r="AT74" s="16"/>
      <c r="AU74"/>
    </row>
    <row r="75" spans="1:47" ht="45" customHeight="1" x14ac:dyDescent="0.3">
      <c r="A75" s="185"/>
      <c r="B75" s="182"/>
      <c r="C75" s="203"/>
      <c r="D75" s="31" t="s">
        <v>74</v>
      </c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3"/>
      <c r="W75" s="199"/>
      <c r="X75" s="200"/>
      <c r="Y75" s="213">
        <v>2</v>
      </c>
      <c r="Z75" s="214"/>
      <c r="AA75" s="208" t="str">
        <f t="shared" si="7"/>
        <v/>
      </c>
      <c r="AB75" s="209"/>
      <c r="AC75" s="210"/>
      <c r="AD75" s="211"/>
      <c r="AE75" s="211"/>
      <c r="AF75" s="211"/>
      <c r="AG75" s="211"/>
      <c r="AH75" s="211"/>
      <c r="AI75" s="211"/>
      <c r="AJ75" s="211"/>
      <c r="AK75" s="212"/>
      <c r="AL75"/>
      <c r="AM75"/>
      <c r="AN75"/>
      <c r="AO75"/>
      <c r="AP75" s="16"/>
      <c r="AQ75" s="16"/>
      <c r="AR75" s="16" t="str">
        <f t="shared" si="9"/>
        <v/>
      </c>
      <c r="AS75" s="16"/>
      <c r="AT75" s="16"/>
      <c r="AU75"/>
    </row>
    <row r="76" spans="1:47" ht="48.75" customHeight="1" thickBot="1" x14ac:dyDescent="0.35">
      <c r="A76" s="207"/>
      <c r="B76" s="204"/>
      <c r="C76" s="205"/>
      <c r="D76" s="31" t="s">
        <v>73</v>
      </c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3"/>
      <c r="W76" s="52"/>
      <c r="X76" s="53"/>
      <c r="Y76" s="54">
        <v>2</v>
      </c>
      <c r="Z76" s="54"/>
      <c r="AA76" s="228" t="str">
        <f t="shared" si="7"/>
        <v/>
      </c>
      <c r="AB76" s="229"/>
      <c r="AC76" s="194"/>
      <c r="AD76" s="195"/>
      <c r="AE76" s="195"/>
      <c r="AF76" s="195"/>
      <c r="AG76" s="195"/>
      <c r="AH76" s="195"/>
      <c r="AI76" s="195"/>
      <c r="AJ76" s="195"/>
      <c r="AK76" s="196"/>
      <c r="AL76"/>
      <c r="AM76"/>
      <c r="AN76"/>
      <c r="AO76"/>
      <c r="AP76" s="16"/>
      <c r="AQ76" s="16" t="str">
        <f t="shared" si="8"/>
        <v>La empresa cuenta con algún mecanismo de aceptación (inspección) para recibir en operación los equipos   que son liberados de actividades de mantenimiento o reparación.</v>
      </c>
      <c r="AR76" s="16" t="str">
        <f t="shared" si="9"/>
        <v/>
      </c>
      <c r="AS76" s="16" t="e">
        <f>+AVERAGE(AA$68:AB$76)</f>
        <v>#DIV/0!</v>
      </c>
      <c r="AT76" s="16"/>
      <c r="AU76"/>
    </row>
    <row r="77" spans="1:47" ht="15" thickBot="1" x14ac:dyDescent="0.35">
      <c r="A77" s="149" t="s">
        <v>60</v>
      </c>
      <c r="B77" s="150"/>
      <c r="C77" s="150"/>
      <c r="D77" s="150"/>
      <c r="E77" s="150"/>
      <c r="F77" s="150"/>
      <c r="G77" s="150"/>
      <c r="H77" s="150"/>
      <c r="I77" s="150"/>
      <c r="J77" s="150"/>
      <c r="K77" s="150"/>
      <c r="L77" s="150"/>
      <c r="M77" s="150"/>
      <c r="N77" s="150"/>
      <c r="O77" s="150"/>
      <c r="P77" s="150"/>
      <c r="Q77" s="150"/>
      <c r="R77" s="150"/>
      <c r="S77" s="150"/>
      <c r="T77" s="150"/>
      <c r="U77" s="150"/>
      <c r="V77" s="150"/>
      <c r="W77" s="150"/>
      <c r="X77" s="150"/>
      <c r="Y77" s="150"/>
      <c r="Z77" s="218"/>
      <c r="AA77" s="230" t="str">
        <f>IF(AA68="","",SUM(AA68:AB76))</f>
        <v/>
      </c>
      <c r="AB77" s="231"/>
      <c r="AC77" s="226"/>
      <c r="AD77" s="226"/>
      <c r="AE77" s="226"/>
      <c r="AF77" s="226"/>
      <c r="AG77" s="226"/>
      <c r="AH77" s="226"/>
      <c r="AI77" s="226"/>
      <c r="AJ77" s="226"/>
      <c r="AK77" s="227"/>
      <c r="AL77"/>
      <c r="AM77"/>
      <c r="AN77"/>
      <c r="AO77"/>
      <c r="AP77" s="16"/>
      <c r="AQ77" s="16"/>
      <c r="AR77" s="16"/>
      <c r="AS77" s="16"/>
      <c r="AT77" s="16"/>
      <c r="AU77"/>
    </row>
    <row r="78" spans="1:47" ht="15" thickBot="1" x14ac:dyDescent="0.35">
      <c r="A78" s="61" t="s">
        <v>23</v>
      </c>
      <c r="B78" s="62"/>
      <c r="C78" s="63"/>
      <c r="D78" s="61" t="s">
        <v>24</v>
      </c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3"/>
      <c r="W78" s="98" t="str">
        <f>+W43</f>
        <v>VALOR</v>
      </c>
      <c r="X78" s="95"/>
      <c r="Y78" s="97" t="str">
        <f>+Y43</f>
        <v>POND</v>
      </c>
      <c r="Z78" s="97"/>
      <c r="AA78" s="97" t="str">
        <f>+AA43</f>
        <v>TOTAL</v>
      </c>
      <c r="AB78" s="224"/>
      <c r="AC78" s="179" t="s">
        <v>22</v>
      </c>
      <c r="AD78" s="62"/>
      <c r="AE78" s="62"/>
      <c r="AF78" s="62"/>
      <c r="AG78" s="62"/>
      <c r="AH78" s="62"/>
      <c r="AI78" s="62"/>
      <c r="AJ78" s="62"/>
      <c r="AK78" s="63"/>
      <c r="AL78"/>
      <c r="AM78"/>
      <c r="AN78"/>
      <c r="AO78"/>
      <c r="AP78" s="16"/>
      <c r="AQ78" s="16"/>
      <c r="AR78" s="16"/>
      <c r="AS78" s="16"/>
      <c r="AT78" s="16"/>
      <c r="AU78"/>
    </row>
    <row r="79" spans="1:47" ht="39" customHeight="1" x14ac:dyDescent="0.3">
      <c r="A79" s="206" t="s">
        <v>54</v>
      </c>
      <c r="B79" s="201" t="s">
        <v>58</v>
      </c>
      <c r="C79" s="202"/>
      <c r="D79" s="31" t="s">
        <v>34</v>
      </c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3"/>
      <c r="W79" s="52"/>
      <c r="X79" s="53"/>
      <c r="Y79" s="54">
        <v>3</v>
      </c>
      <c r="Z79" s="54"/>
      <c r="AA79" s="50" t="str">
        <f>IF(W79="","",(Y79*W79))</f>
        <v/>
      </c>
      <c r="AB79" s="51"/>
      <c r="AC79" s="215"/>
      <c r="AD79" s="216"/>
      <c r="AE79" s="216"/>
      <c r="AF79" s="216"/>
      <c r="AG79" s="216"/>
      <c r="AH79" s="216"/>
      <c r="AI79" s="216"/>
      <c r="AJ79" s="216"/>
      <c r="AK79" s="217"/>
      <c r="AL79"/>
      <c r="AM79"/>
      <c r="AN79"/>
      <c r="AO79"/>
      <c r="AP79" s="16"/>
      <c r="AQ79" s="16" t="str">
        <f>+D79</f>
        <v>La empresa cuenta con procedimientos seguros de operación para cada uno de los equipos de izaje de cargas y son actualizados periódicamente</v>
      </c>
      <c r="AR79" s="16" t="str">
        <f>+AA79</f>
        <v/>
      </c>
      <c r="AS79" s="16" t="e">
        <f>+AVERAGE(AR$79:AR$84)</f>
        <v>#DIV/0!</v>
      </c>
      <c r="AT79" s="16"/>
      <c r="AU79"/>
    </row>
    <row r="80" spans="1:47" ht="46.5" customHeight="1" x14ac:dyDescent="0.3">
      <c r="A80" s="185"/>
      <c r="B80" s="182"/>
      <c r="C80" s="203"/>
      <c r="D80" s="31" t="s">
        <v>82</v>
      </c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3"/>
      <c r="W80" s="52"/>
      <c r="X80" s="53"/>
      <c r="Y80" s="54">
        <v>3</v>
      </c>
      <c r="Z80" s="54"/>
      <c r="AA80" s="50" t="str">
        <f t="shared" ref="AA80:AA84" si="11">IF(W80="","",(Y80*W80))</f>
        <v/>
      </c>
      <c r="AB80" s="51"/>
      <c r="AC80" s="171"/>
      <c r="AD80" s="172"/>
      <c r="AE80" s="172"/>
      <c r="AF80" s="172"/>
      <c r="AG80" s="172"/>
      <c r="AH80" s="172"/>
      <c r="AI80" s="172"/>
      <c r="AJ80" s="172"/>
      <c r="AK80" s="173"/>
      <c r="AL80"/>
      <c r="AM80"/>
      <c r="AN80"/>
      <c r="AO80"/>
      <c r="AP80" s="16"/>
      <c r="AQ80" s="16" t="str">
        <f t="shared" ref="AQ80:AQ84" si="12">+D80</f>
        <v>La empresa cuenta con procedimientos seguros de operación para cada uno de los elementos de izaje de  cargas y son actualizados periódicamente</v>
      </c>
      <c r="AR80" s="16" t="str">
        <f t="shared" ref="AR80:AR84" si="13">+AA80</f>
        <v/>
      </c>
      <c r="AS80" s="16" t="e">
        <f t="shared" ref="AS80:AS84" si="14">+AVERAGE(AR$79:AR$84)</f>
        <v>#DIV/0!</v>
      </c>
      <c r="AT80" s="16"/>
      <c r="AU80"/>
    </row>
    <row r="81" spans="1:47" ht="27" customHeight="1" x14ac:dyDescent="0.3">
      <c r="A81" s="185"/>
      <c r="B81" s="182"/>
      <c r="C81" s="203"/>
      <c r="D81" s="31" t="s">
        <v>35</v>
      </c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3"/>
      <c r="W81" s="52"/>
      <c r="X81" s="53"/>
      <c r="Y81" s="54">
        <v>3</v>
      </c>
      <c r="Z81" s="54"/>
      <c r="AA81" s="50" t="str">
        <f t="shared" si="11"/>
        <v/>
      </c>
      <c r="AB81" s="51"/>
      <c r="AC81" s="171"/>
      <c r="AD81" s="172"/>
      <c r="AE81" s="172"/>
      <c r="AF81" s="172"/>
      <c r="AG81" s="172"/>
      <c r="AH81" s="172"/>
      <c r="AI81" s="172"/>
      <c r="AJ81" s="172"/>
      <c r="AK81" s="173"/>
      <c r="AL81"/>
      <c r="AM81"/>
      <c r="AN81"/>
      <c r="AO81"/>
      <c r="AP81" s="16"/>
      <c r="AQ81" s="16" t="str">
        <f t="shared" si="12"/>
        <v>El personal involucrado en las operaciones de izajes conoce y aplica los procedimientos</v>
      </c>
      <c r="AR81" s="16" t="str">
        <f t="shared" si="13"/>
        <v/>
      </c>
      <c r="AS81" s="16" t="e">
        <f t="shared" si="14"/>
        <v>#DIV/0!</v>
      </c>
      <c r="AT81" s="16"/>
      <c r="AU81"/>
    </row>
    <row r="82" spans="1:47" ht="30" customHeight="1" x14ac:dyDescent="0.3">
      <c r="A82" s="185"/>
      <c r="B82" s="182"/>
      <c r="C82" s="203"/>
      <c r="D82" s="31" t="s">
        <v>36</v>
      </c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3"/>
      <c r="W82" s="52"/>
      <c r="X82" s="53"/>
      <c r="Y82" s="54">
        <v>3</v>
      </c>
      <c r="Z82" s="54"/>
      <c r="AA82" s="50" t="str">
        <f t="shared" si="11"/>
        <v/>
      </c>
      <c r="AB82" s="51"/>
      <c r="AC82" s="171"/>
      <c r="AD82" s="172"/>
      <c r="AE82" s="172"/>
      <c r="AF82" s="172"/>
      <c r="AG82" s="172"/>
      <c r="AH82" s="172"/>
      <c r="AI82" s="172"/>
      <c r="AJ82" s="172"/>
      <c r="AK82" s="173"/>
      <c r="AL82"/>
      <c r="AM82"/>
      <c r="AN82"/>
      <c r="AO82"/>
      <c r="AP82" s="16"/>
      <c r="AQ82" s="16" t="str">
        <f t="shared" si="12"/>
        <v>La empresa para el desarrollo de las actividades de izaje ha establecido y pone en práctica un plan de izaje documentado</v>
      </c>
      <c r="AR82" s="16" t="str">
        <f t="shared" si="13"/>
        <v/>
      </c>
      <c r="AS82" s="16" t="e">
        <f t="shared" si="14"/>
        <v>#DIV/0!</v>
      </c>
      <c r="AT82" s="16"/>
      <c r="AU82"/>
    </row>
    <row r="83" spans="1:47" ht="30" customHeight="1" x14ac:dyDescent="0.3">
      <c r="A83" s="185"/>
      <c r="B83" s="182"/>
      <c r="C83" s="203"/>
      <c r="D83" s="31" t="s">
        <v>83</v>
      </c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3"/>
      <c r="W83" s="199"/>
      <c r="X83" s="200"/>
      <c r="Y83" s="213">
        <v>2</v>
      </c>
      <c r="Z83" s="214"/>
      <c r="AA83" s="50" t="str">
        <f t="shared" si="11"/>
        <v/>
      </c>
      <c r="AB83" s="51"/>
      <c r="AC83" s="210"/>
      <c r="AD83" s="211"/>
      <c r="AE83" s="211"/>
      <c r="AF83" s="211"/>
      <c r="AG83" s="211"/>
      <c r="AH83" s="211"/>
      <c r="AI83" s="211"/>
      <c r="AJ83" s="211"/>
      <c r="AK83" s="212"/>
      <c r="AL83"/>
      <c r="AM83"/>
      <c r="AN83"/>
      <c r="AO83"/>
      <c r="AP83" s="16"/>
      <c r="AQ83" s="16"/>
      <c r="AR83" s="16" t="str">
        <f t="shared" si="13"/>
        <v/>
      </c>
      <c r="AS83" s="16"/>
      <c r="AT83" s="16"/>
      <c r="AU83"/>
    </row>
    <row r="84" spans="1:47" ht="31.5" customHeight="1" thickBot="1" x14ac:dyDescent="0.35">
      <c r="A84" s="207"/>
      <c r="B84" s="182"/>
      <c r="C84" s="203"/>
      <c r="D84" s="31" t="s">
        <v>84</v>
      </c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3"/>
      <c r="W84" s="52"/>
      <c r="X84" s="53"/>
      <c r="Y84" s="54">
        <v>3</v>
      </c>
      <c r="Z84" s="54"/>
      <c r="AA84" s="50" t="str">
        <f t="shared" si="11"/>
        <v/>
      </c>
      <c r="AB84" s="51"/>
      <c r="AC84" s="194"/>
      <c r="AD84" s="195"/>
      <c r="AE84" s="195"/>
      <c r="AF84" s="195"/>
      <c r="AG84" s="195"/>
      <c r="AH84" s="195"/>
      <c r="AI84" s="195"/>
      <c r="AJ84" s="195"/>
      <c r="AK84" s="196"/>
      <c r="AL84"/>
      <c r="AM84"/>
      <c r="AN84"/>
      <c r="AO84"/>
      <c r="AP84" s="16"/>
      <c r="AQ84" s="16" t="str">
        <f t="shared" si="12"/>
        <v>El o los  planes de izaje criticos   se encuentran revisados y firmados por el líder o supervisor  de izaje y  la máxima autoridad en el área.</v>
      </c>
      <c r="AR84" s="16" t="str">
        <f t="shared" si="13"/>
        <v/>
      </c>
      <c r="AS84" s="16" t="e">
        <f t="shared" si="14"/>
        <v>#DIV/0!</v>
      </c>
      <c r="AT84" s="16"/>
      <c r="AU84"/>
    </row>
    <row r="85" spans="1:47" ht="15" thickBot="1" x14ac:dyDescent="0.35">
      <c r="A85" s="149" t="s">
        <v>59</v>
      </c>
      <c r="B85" s="150"/>
      <c r="C85" s="150"/>
      <c r="D85" s="150"/>
      <c r="E85" s="150"/>
      <c r="F85" s="150"/>
      <c r="G85" s="150"/>
      <c r="H85" s="150"/>
      <c r="I85" s="150"/>
      <c r="J85" s="150"/>
      <c r="K85" s="150"/>
      <c r="L85" s="150"/>
      <c r="M85" s="150"/>
      <c r="N85" s="150"/>
      <c r="O85" s="150"/>
      <c r="P85" s="150"/>
      <c r="Q85" s="150"/>
      <c r="R85" s="150"/>
      <c r="S85" s="150"/>
      <c r="T85" s="150"/>
      <c r="U85" s="150"/>
      <c r="V85" s="150"/>
      <c r="W85" s="150"/>
      <c r="X85" s="150"/>
      <c r="Y85" s="150"/>
      <c r="Z85" s="151"/>
      <c r="AA85" s="225" t="str">
        <f>IF(AA79="","",SUM(AA79:AB84))</f>
        <v/>
      </c>
      <c r="AB85" s="226"/>
      <c r="AC85" s="226"/>
      <c r="AD85" s="226"/>
      <c r="AE85" s="226"/>
      <c r="AF85" s="226"/>
      <c r="AG85" s="226"/>
      <c r="AH85" s="226"/>
      <c r="AI85" s="226"/>
      <c r="AJ85" s="226"/>
      <c r="AK85" s="227"/>
      <c r="AL85"/>
      <c r="AM85"/>
      <c r="AN85"/>
      <c r="AO85"/>
      <c r="AP85" s="16"/>
      <c r="AQ85" s="16"/>
      <c r="AR85" s="16"/>
      <c r="AS85" s="16"/>
      <c r="AT85" s="16"/>
      <c r="AU85"/>
    </row>
    <row r="86" spans="1:47" ht="15" thickBot="1" x14ac:dyDescent="0.35">
      <c r="A86" s="61" t="s">
        <v>23</v>
      </c>
      <c r="B86" s="62"/>
      <c r="C86" s="63"/>
      <c r="D86" s="61" t="s">
        <v>24</v>
      </c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3"/>
      <c r="W86" s="98" t="str">
        <f>+W43</f>
        <v>VALOR</v>
      </c>
      <c r="X86" s="95"/>
      <c r="Y86" s="97" t="str">
        <f>+Y43</f>
        <v>POND</v>
      </c>
      <c r="Z86" s="97"/>
      <c r="AA86" s="97" t="str">
        <f>+AA43</f>
        <v>TOTAL</v>
      </c>
      <c r="AB86" s="224"/>
      <c r="AC86" s="179" t="s">
        <v>64</v>
      </c>
      <c r="AD86" s="62"/>
      <c r="AE86" s="62"/>
      <c r="AF86" s="62"/>
      <c r="AG86" s="62"/>
      <c r="AH86" s="62"/>
      <c r="AI86" s="62"/>
      <c r="AJ86" s="62"/>
      <c r="AK86" s="63"/>
      <c r="AL86"/>
      <c r="AM86"/>
      <c r="AN86"/>
      <c r="AO86"/>
      <c r="AP86" s="16"/>
      <c r="AQ86" s="16"/>
      <c r="AR86" s="16"/>
      <c r="AS86" s="16"/>
      <c r="AT86" s="16"/>
      <c r="AU86"/>
    </row>
    <row r="87" spans="1:47" ht="29.25" customHeight="1" x14ac:dyDescent="0.3">
      <c r="A87" s="206" t="s">
        <v>53</v>
      </c>
      <c r="B87" s="201" t="s">
        <v>52</v>
      </c>
      <c r="C87" s="202"/>
      <c r="D87" s="37" t="s">
        <v>48</v>
      </c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9"/>
      <c r="W87" s="177"/>
      <c r="X87" s="178"/>
      <c r="Y87" s="167">
        <v>2</v>
      </c>
      <c r="Z87" s="167"/>
      <c r="AA87" s="152" t="str">
        <f>IF(W87="","",(Y87*W87))</f>
        <v/>
      </c>
      <c r="AB87" s="153"/>
      <c r="AC87" s="221"/>
      <c r="AD87" s="222"/>
      <c r="AE87" s="222"/>
      <c r="AF87" s="222"/>
      <c r="AG87" s="222"/>
      <c r="AH87" s="222"/>
      <c r="AI87" s="222"/>
      <c r="AJ87" s="222"/>
      <c r="AK87" s="223"/>
      <c r="AL87"/>
      <c r="AM87"/>
      <c r="AN87"/>
      <c r="AO87"/>
      <c r="AP87" s="16"/>
      <c r="AQ87" s="16" t="str">
        <f>+D87</f>
        <v>La empresa realiza auditorias de control documentales y de campo a los procesos de izaje de cargas</v>
      </c>
      <c r="AR87" s="16" t="str">
        <f>+AA87</f>
        <v/>
      </c>
      <c r="AS87" s="16" t="e">
        <f>+AVERAGE(AR$87:AR$92)</f>
        <v>#DIV/0!</v>
      </c>
      <c r="AT87" s="16"/>
      <c r="AU87"/>
    </row>
    <row r="88" spans="1:47" ht="29.25" customHeight="1" x14ac:dyDescent="0.3">
      <c r="A88" s="185"/>
      <c r="B88" s="182"/>
      <c r="C88" s="203"/>
      <c r="D88" s="40" t="s">
        <v>51</v>
      </c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2"/>
      <c r="W88" s="199"/>
      <c r="X88" s="200"/>
      <c r="Y88" s="213">
        <v>2</v>
      </c>
      <c r="Z88" s="214"/>
      <c r="AA88" s="147" t="str">
        <f t="shared" ref="AA88:AA91" si="15">IF(W88="","",(Y88*W88))</f>
        <v/>
      </c>
      <c r="AB88" s="148"/>
      <c r="AC88" s="210"/>
      <c r="AD88" s="211"/>
      <c r="AE88" s="211"/>
      <c r="AF88" s="211"/>
      <c r="AG88" s="211"/>
      <c r="AH88" s="211"/>
      <c r="AI88" s="211"/>
      <c r="AJ88" s="211"/>
      <c r="AK88" s="212"/>
      <c r="AL88"/>
      <c r="AM88"/>
      <c r="AN88"/>
      <c r="AO88"/>
      <c r="AP88" s="16"/>
      <c r="AQ88" s="16" t="str">
        <f t="shared" ref="AQ88:AQ92" si="16">+D88</f>
        <v xml:space="preserve">La empresa gestiona los hallazgos de auditorias e inspecciones </v>
      </c>
      <c r="AR88" s="16" t="str">
        <f t="shared" ref="AR88:AR92" si="17">+AA88</f>
        <v/>
      </c>
      <c r="AS88" s="16" t="e">
        <f t="shared" ref="AS88:AS92" si="18">+AVERAGE(AR$87:AR$92)</f>
        <v>#DIV/0!</v>
      </c>
      <c r="AT88" s="16"/>
      <c r="AU88"/>
    </row>
    <row r="89" spans="1:47" ht="30" customHeight="1" x14ac:dyDescent="0.3">
      <c r="A89" s="185"/>
      <c r="B89" s="182"/>
      <c r="C89" s="203"/>
      <c r="D89" s="31" t="s">
        <v>85</v>
      </c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3"/>
      <c r="W89" s="52"/>
      <c r="X89" s="53"/>
      <c r="Y89" s="54">
        <v>3</v>
      </c>
      <c r="Z89" s="54"/>
      <c r="AA89" s="147" t="str">
        <f t="shared" si="15"/>
        <v/>
      </c>
      <c r="AB89" s="148"/>
      <c r="AC89" s="171"/>
      <c r="AD89" s="172"/>
      <c r="AE89" s="172"/>
      <c r="AF89" s="172"/>
      <c r="AG89" s="172"/>
      <c r="AH89" s="172"/>
      <c r="AI89" s="172"/>
      <c r="AJ89" s="172"/>
      <c r="AK89" s="173"/>
      <c r="AL89"/>
      <c r="AM89"/>
      <c r="AN89"/>
      <c r="AO89"/>
      <c r="AP89" s="16"/>
      <c r="AQ89" s="16" t="str">
        <f t="shared" si="16"/>
        <v xml:space="preserve">La empresa ha definido un mecanismo para identificar y controlar operaciones criticas de izajes </v>
      </c>
      <c r="AR89" s="16" t="str">
        <f t="shared" si="17"/>
        <v/>
      </c>
      <c r="AS89" s="16" t="e">
        <f t="shared" si="18"/>
        <v>#DIV/0!</v>
      </c>
      <c r="AT89" s="16"/>
      <c r="AU89"/>
    </row>
    <row r="90" spans="1:47" ht="50.25" customHeight="1" x14ac:dyDescent="0.3">
      <c r="A90" s="185"/>
      <c r="B90" s="182"/>
      <c r="C90" s="203"/>
      <c r="D90" s="31" t="s">
        <v>86</v>
      </c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3"/>
      <c r="W90" s="52"/>
      <c r="X90" s="53"/>
      <c r="Y90" s="54">
        <v>2</v>
      </c>
      <c r="Z90" s="54"/>
      <c r="AA90" s="147" t="str">
        <f t="shared" si="15"/>
        <v/>
      </c>
      <c r="AB90" s="148"/>
      <c r="AC90" s="171"/>
      <c r="AD90" s="172"/>
      <c r="AE90" s="172"/>
      <c r="AF90" s="172"/>
      <c r="AG90" s="172"/>
      <c r="AH90" s="172"/>
      <c r="AI90" s="172"/>
      <c r="AJ90" s="172"/>
      <c r="AK90" s="173"/>
      <c r="AL90"/>
      <c r="AM90"/>
      <c r="AN90"/>
      <c r="AO90"/>
      <c r="AP90" s="16"/>
      <c r="AQ90" s="16" t="str">
        <f t="shared" si="16"/>
        <v>La empresa cuenta con un mecanismo de control documental para gestión de la información de las operaciones de izajes, sus equipos y herramientas y personal que permita su archivo su conservación y su recuperación en tiempo real.</v>
      </c>
      <c r="AR90" s="16" t="str">
        <f t="shared" si="17"/>
        <v/>
      </c>
      <c r="AS90" s="16" t="e">
        <f t="shared" si="18"/>
        <v>#DIV/0!</v>
      </c>
      <c r="AT90" s="16"/>
      <c r="AU90"/>
    </row>
    <row r="91" spans="1:47" ht="44.25" customHeight="1" x14ac:dyDescent="0.3">
      <c r="A91" s="185"/>
      <c r="B91" s="182"/>
      <c r="C91" s="203"/>
      <c r="D91" s="31" t="s">
        <v>49</v>
      </c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3"/>
      <c r="W91" s="52"/>
      <c r="X91" s="53"/>
      <c r="Y91" s="54">
        <v>3</v>
      </c>
      <c r="Z91" s="54"/>
      <c r="AA91" s="147" t="str">
        <f t="shared" si="15"/>
        <v/>
      </c>
      <c r="AB91" s="148"/>
      <c r="AC91" s="171"/>
      <c r="AD91" s="172"/>
      <c r="AE91" s="172"/>
      <c r="AF91" s="172"/>
      <c r="AG91" s="172"/>
      <c r="AH91" s="172"/>
      <c r="AI91" s="172"/>
      <c r="AJ91" s="172"/>
      <c r="AK91" s="173"/>
      <c r="AL91"/>
      <c r="AM91"/>
      <c r="AN91"/>
      <c r="AO91"/>
      <c r="AP91" s="16"/>
      <c r="AQ91" s="16" t="str">
        <f t="shared" si="16"/>
        <v>La empresa cuenta con mecanismo de control y filtro para la gestión de contratistas, proveedores y compras asociadas a las operaciones de izajes</v>
      </c>
      <c r="AR91" s="16" t="str">
        <f t="shared" si="17"/>
        <v/>
      </c>
      <c r="AS91" s="16" t="e">
        <f t="shared" si="18"/>
        <v>#DIV/0!</v>
      </c>
      <c r="AT91" s="16"/>
      <c r="AU91"/>
    </row>
    <row r="92" spans="1:47" ht="29.25" customHeight="1" thickBot="1" x14ac:dyDescent="0.35">
      <c r="A92" s="207"/>
      <c r="B92" s="204"/>
      <c r="C92" s="205"/>
      <c r="D92" s="34" t="s">
        <v>50</v>
      </c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6"/>
      <c r="W92" s="160"/>
      <c r="X92" s="161"/>
      <c r="Y92" s="162">
        <v>2</v>
      </c>
      <c r="Z92" s="162"/>
      <c r="AA92" s="192" t="str">
        <f>IF(W92="","",(Y92*W92))</f>
        <v/>
      </c>
      <c r="AB92" s="193"/>
      <c r="AC92" s="232"/>
      <c r="AD92" s="233"/>
      <c r="AE92" s="233"/>
      <c r="AF92" s="233"/>
      <c r="AG92" s="233"/>
      <c r="AH92" s="233"/>
      <c r="AI92" s="233"/>
      <c r="AJ92" s="233"/>
      <c r="AK92" s="234"/>
      <c r="AL92"/>
      <c r="AM92"/>
      <c r="AN92"/>
      <c r="AO92"/>
      <c r="AP92" s="16"/>
      <c r="AQ92" s="16" t="str">
        <f t="shared" si="16"/>
        <v>La empresa verifica la implementación de controles planteados en la matriz de peligros  para las operaciones de izajes.</v>
      </c>
      <c r="AR92" s="16" t="str">
        <f t="shared" si="17"/>
        <v/>
      </c>
      <c r="AS92" s="16" t="e">
        <f t="shared" si="18"/>
        <v>#DIV/0!</v>
      </c>
      <c r="AT92" s="16"/>
      <c r="AU92"/>
    </row>
    <row r="93" spans="1:47" ht="15" thickBot="1" x14ac:dyDescent="0.35">
      <c r="A93" s="149" t="s">
        <v>61</v>
      </c>
      <c r="B93" s="150"/>
      <c r="C93" s="150"/>
      <c r="D93" s="150"/>
      <c r="E93" s="150"/>
      <c r="F93" s="150"/>
      <c r="G93" s="150"/>
      <c r="H93" s="150"/>
      <c r="I93" s="150"/>
      <c r="J93" s="150"/>
      <c r="K93" s="150"/>
      <c r="L93" s="150"/>
      <c r="M93" s="150"/>
      <c r="N93" s="150"/>
      <c r="O93" s="150"/>
      <c r="P93" s="150"/>
      <c r="Q93" s="150"/>
      <c r="R93" s="150"/>
      <c r="S93" s="150"/>
      <c r="T93" s="150"/>
      <c r="U93" s="150"/>
      <c r="V93" s="150"/>
      <c r="W93" s="150"/>
      <c r="X93" s="150"/>
      <c r="Y93" s="150"/>
      <c r="Z93" s="151"/>
      <c r="AA93" s="230" t="str">
        <f>IF(AA87="","",SUM(AA87:AB92))</f>
        <v/>
      </c>
      <c r="AB93" s="231"/>
      <c r="AC93" s="226"/>
      <c r="AD93" s="226"/>
      <c r="AE93" s="226"/>
      <c r="AF93" s="226"/>
      <c r="AG93" s="226"/>
      <c r="AH93" s="226"/>
      <c r="AI93" s="226"/>
      <c r="AJ93" s="226"/>
      <c r="AK93" s="227"/>
      <c r="AL93"/>
      <c r="AM93"/>
      <c r="AN93"/>
      <c r="AO93"/>
      <c r="AP93" s="16"/>
      <c r="AQ93" s="16"/>
      <c r="AR93" s="16"/>
      <c r="AS93" s="16"/>
      <c r="AT93" s="16"/>
      <c r="AU93"/>
    </row>
    <row r="94" spans="1:47" x14ac:dyDescent="0.3">
      <c r="AL94"/>
      <c r="AM94"/>
      <c r="AN94"/>
      <c r="AO94"/>
      <c r="AP94" s="16"/>
      <c r="AQ94" s="16"/>
      <c r="AR94" s="16"/>
      <c r="AS94" s="16"/>
      <c r="AT94" s="16"/>
      <c r="AU94"/>
    </row>
    <row r="95" spans="1:47" ht="15" thickBot="1" x14ac:dyDescent="0.35">
      <c r="AL95"/>
      <c r="AM95"/>
      <c r="AN95"/>
      <c r="AO95"/>
      <c r="AP95" s="16"/>
      <c r="AQ95" s="16"/>
      <c r="AR95" s="16"/>
      <c r="AS95" s="16"/>
      <c r="AT95" s="16"/>
      <c r="AU95"/>
    </row>
    <row r="96" spans="1:47" ht="15" thickBot="1" x14ac:dyDescent="0.35">
      <c r="A96" s="245" t="s">
        <v>89</v>
      </c>
      <c r="B96" s="246"/>
      <c r="C96" s="246"/>
      <c r="D96" s="246"/>
      <c r="E96" s="246"/>
      <c r="F96" s="246"/>
      <c r="G96" s="246"/>
      <c r="H96" s="246"/>
      <c r="I96" s="246"/>
      <c r="J96" s="246"/>
      <c r="K96" s="246"/>
      <c r="L96" s="246"/>
      <c r="M96" s="246"/>
      <c r="N96" s="246"/>
      <c r="O96" s="246"/>
      <c r="P96" s="246"/>
      <c r="Q96" s="246"/>
      <c r="R96" s="246"/>
      <c r="S96" s="246"/>
      <c r="T96" s="246"/>
      <c r="U96" s="246"/>
      <c r="V96" s="246"/>
      <c r="W96" s="246"/>
      <c r="X96" s="246"/>
      <c r="Y96" s="246"/>
      <c r="Z96" s="247"/>
      <c r="AA96" s="245" t="s">
        <v>62</v>
      </c>
      <c r="AB96" s="246"/>
      <c r="AC96" s="246"/>
      <c r="AD96" s="246"/>
      <c r="AE96" s="246"/>
      <c r="AF96" s="246"/>
      <c r="AG96" s="246"/>
      <c r="AH96" s="246"/>
      <c r="AI96" s="246"/>
      <c r="AJ96" s="246"/>
      <c r="AK96" s="247"/>
      <c r="AL96"/>
      <c r="AM96"/>
      <c r="AN96"/>
      <c r="AO96"/>
      <c r="AP96" s="16"/>
      <c r="AQ96" s="16"/>
      <c r="AR96" s="16"/>
      <c r="AS96" s="16"/>
      <c r="AT96" s="16"/>
      <c r="AU96"/>
    </row>
    <row r="97" spans="1:47" x14ac:dyDescent="0.3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1"/>
      <c r="AA97" s="266"/>
      <c r="AB97" s="267"/>
      <c r="AC97" s="267"/>
      <c r="AD97" s="267"/>
      <c r="AE97" s="267"/>
      <c r="AF97" s="267"/>
      <c r="AG97" s="267"/>
      <c r="AH97" s="267"/>
      <c r="AI97" s="267"/>
      <c r="AJ97" s="267"/>
      <c r="AK97" s="268"/>
      <c r="AL97"/>
      <c r="AM97"/>
      <c r="AN97"/>
      <c r="AO97"/>
      <c r="AP97" s="16"/>
      <c r="AQ97" s="16"/>
      <c r="AR97" s="16"/>
      <c r="AS97" s="16"/>
      <c r="AT97" s="16"/>
      <c r="AU97"/>
    </row>
    <row r="98" spans="1:47" x14ac:dyDescent="0.3">
      <c r="W98" s="10"/>
      <c r="X98" s="10"/>
      <c r="Y98" s="10"/>
      <c r="Z98" s="11"/>
      <c r="AA98" s="269"/>
      <c r="AB98" s="270"/>
      <c r="AC98" s="270"/>
      <c r="AD98" s="270"/>
      <c r="AE98" s="270"/>
      <c r="AF98" s="270"/>
      <c r="AG98" s="270"/>
      <c r="AH98" s="270"/>
      <c r="AI98" s="270"/>
      <c r="AJ98" s="270"/>
      <c r="AK98" s="271"/>
      <c r="AL98"/>
      <c r="AM98"/>
      <c r="AN98"/>
      <c r="AO98"/>
      <c r="AP98" s="16"/>
      <c r="AQ98" s="16"/>
      <c r="AR98" s="16"/>
      <c r="AS98" s="16"/>
      <c r="AT98" s="16"/>
      <c r="AU98"/>
    </row>
    <row r="99" spans="1:47" x14ac:dyDescent="0.3">
      <c r="W99" s="10"/>
      <c r="X99" s="10"/>
      <c r="Y99" s="10"/>
      <c r="Z99" s="11"/>
      <c r="AA99" s="269"/>
      <c r="AB99" s="270"/>
      <c r="AC99" s="270"/>
      <c r="AD99" s="270"/>
      <c r="AE99" s="270"/>
      <c r="AF99" s="270"/>
      <c r="AG99" s="270"/>
      <c r="AH99" s="270"/>
      <c r="AI99" s="270"/>
      <c r="AJ99" s="270"/>
      <c r="AK99" s="271"/>
      <c r="AL99"/>
      <c r="AM99"/>
      <c r="AN99"/>
      <c r="AO99"/>
      <c r="AP99" s="16"/>
      <c r="AQ99" s="16"/>
      <c r="AR99" s="16"/>
      <c r="AS99" s="16"/>
      <c r="AT99" s="16"/>
      <c r="AU99"/>
    </row>
    <row r="100" spans="1:47" x14ac:dyDescent="0.3">
      <c r="W100" s="10"/>
      <c r="X100" s="10"/>
      <c r="Y100" s="10"/>
      <c r="Z100" s="11"/>
      <c r="AA100" s="269"/>
      <c r="AB100" s="270"/>
      <c r="AC100" s="270"/>
      <c r="AD100" s="270"/>
      <c r="AE100" s="270"/>
      <c r="AF100" s="270"/>
      <c r="AG100" s="270"/>
      <c r="AH100" s="270"/>
      <c r="AI100" s="270"/>
      <c r="AJ100" s="270"/>
      <c r="AK100" s="271"/>
      <c r="AL100"/>
      <c r="AM100"/>
      <c r="AN100"/>
      <c r="AO100"/>
      <c r="AP100" s="16"/>
      <c r="AQ100" s="16"/>
      <c r="AR100" s="16"/>
      <c r="AS100" s="16"/>
      <c r="AT100" s="16"/>
      <c r="AU100"/>
    </row>
    <row r="101" spans="1:47" x14ac:dyDescent="0.3">
      <c r="W101" s="10"/>
      <c r="X101" s="10"/>
      <c r="Y101" s="10"/>
      <c r="Z101" s="11"/>
      <c r="AA101" s="269"/>
      <c r="AB101" s="270"/>
      <c r="AC101" s="270"/>
      <c r="AD101" s="270"/>
      <c r="AE101" s="270"/>
      <c r="AF101" s="270"/>
      <c r="AG101" s="270"/>
      <c r="AH101" s="270"/>
      <c r="AI101" s="270"/>
      <c r="AJ101" s="270"/>
      <c r="AK101" s="271"/>
      <c r="AL101"/>
      <c r="AM101"/>
      <c r="AN101"/>
      <c r="AO101"/>
      <c r="AP101" s="16"/>
      <c r="AQ101" s="16"/>
      <c r="AR101" s="16"/>
      <c r="AS101" s="16"/>
      <c r="AT101" s="16"/>
      <c r="AU101"/>
    </row>
    <row r="102" spans="1:47" x14ac:dyDescent="0.3">
      <c r="W102" s="10"/>
      <c r="X102" s="10"/>
      <c r="Y102" s="10"/>
      <c r="Z102" s="11"/>
      <c r="AA102" s="269"/>
      <c r="AB102" s="270"/>
      <c r="AC102" s="270"/>
      <c r="AD102" s="270"/>
      <c r="AE102" s="270"/>
      <c r="AF102" s="270"/>
      <c r="AG102" s="270"/>
      <c r="AH102" s="270"/>
      <c r="AI102" s="270"/>
      <c r="AJ102" s="270"/>
      <c r="AK102" s="271"/>
      <c r="AL102"/>
      <c r="AM102"/>
      <c r="AN102"/>
      <c r="AO102"/>
      <c r="AP102" s="16"/>
      <c r="AQ102" s="16"/>
      <c r="AR102" s="16"/>
      <c r="AS102" s="16"/>
      <c r="AT102" s="16"/>
      <c r="AU102"/>
    </row>
    <row r="103" spans="1:47" x14ac:dyDescent="0.3">
      <c r="W103" s="10"/>
      <c r="X103" s="10"/>
      <c r="Y103" s="10"/>
      <c r="Z103" s="11"/>
      <c r="AA103" s="269"/>
      <c r="AB103" s="270"/>
      <c r="AC103" s="270"/>
      <c r="AD103" s="270"/>
      <c r="AE103" s="270"/>
      <c r="AF103" s="270"/>
      <c r="AG103" s="270"/>
      <c r="AH103" s="270"/>
      <c r="AI103" s="270"/>
      <c r="AJ103" s="270"/>
      <c r="AK103" s="271"/>
      <c r="AL103"/>
      <c r="AM103"/>
      <c r="AN103"/>
      <c r="AO103"/>
      <c r="AP103" s="16"/>
      <c r="AQ103" s="16"/>
      <c r="AR103" s="16"/>
      <c r="AS103" s="16"/>
      <c r="AT103" s="16"/>
      <c r="AU103"/>
    </row>
    <row r="104" spans="1:47" ht="15" customHeight="1" x14ac:dyDescent="0.3">
      <c r="A104" s="49" t="s">
        <v>43</v>
      </c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10" t="str">
        <f t="shared" ref="T104:T110" si="19">+AA44</f>
        <v/>
      </c>
      <c r="U104" s="30" t="e">
        <f>+AVERAGE(T104:T110)</f>
        <v>#DIV/0!</v>
      </c>
      <c r="V104" s="30"/>
      <c r="W104" s="10"/>
      <c r="X104" s="10"/>
      <c r="Y104" s="10"/>
      <c r="Z104" s="11"/>
      <c r="AA104" s="269"/>
      <c r="AB104" s="270"/>
      <c r="AC104" s="270"/>
      <c r="AD104" s="270"/>
      <c r="AE104" s="270"/>
      <c r="AF104" s="270"/>
      <c r="AG104" s="270"/>
      <c r="AH104" s="270"/>
      <c r="AI104" s="270"/>
      <c r="AJ104" s="270"/>
      <c r="AK104" s="271"/>
      <c r="AL104"/>
      <c r="AM104"/>
      <c r="AN104"/>
      <c r="AO104"/>
      <c r="AP104" s="16"/>
      <c r="AQ104" s="16"/>
      <c r="AR104" s="16"/>
      <c r="AS104" s="16"/>
      <c r="AT104" s="16"/>
      <c r="AU104"/>
    </row>
    <row r="105" spans="1:47" x14ac:dyDescent="0.3">
      <c r="A105" s="49" t="s">
        <v>44</v>
      </c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10" t="str">
        <f t="shared" si="19"/>
        <v/>
      </c>
      <c r="U105" s="30" t="e">
        <f>+U104</f>
        <v>#DIV/0!</v>
      </c>
      <c r="V105" s="30"/>
      <c r="W105" s="10"/>
      <c r="X105" s="10"/>
      <c r="Y105" s="10"/>
      <c r="Z105" s="11"/>
      <c r="AA105" s="269"/>
      <c r="AB105" s="270"/>
      <c r="AC105" s="270"/>
      <c r="AD105" s="270"/>
      <c r="AE105" s="270"/>
      <c r="AF105" s="270"/>
      <c r="AG105" s="270"/>
      <c r="AH105" s="270"/>
      <c r="AI105" s="270"/>
      <c r="AJ105" s="270"/>
      <c r="AK105" s="271"/>
      <c r="AL105"/>
      <c r="AM105"/>
      <c r="AN105"/>
      <c r="AO105"/>
      <c r="AP105" s="16"/>
      <c r="AQ105" s="16"/>
      <c r="AR105" s="16"/>
      <c r="AS105" s="16"/>
      <c r="AT105" s="16"/>
      <c r="AU105"/>
    </row>
    <row r="106" spans="1:47" x14ac:dyDescent="0.3">
      <c r="A106" s="49" t="s">
        <v>19</v>
      </c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10" t="str">
        <f t="shared" si="19"/>
        <v/>
      </c>
      <c r="U106" s="30" t="e">
        <f>+U104</f>
        <v>#DIV/0!</v>
      </c>
      <c r="V106" s="30"/>
      <c r="W106" s="10"/>
      <c r="X106" s="10"/>
      <c r="Y106" s="10"/>
      <c r="Z106" s="11"/>
      <c r="AA106" s="269"/>
      <c r="AB106" s="270"/>
      <c r="AC106" s="270"/>
      <c r="AD106" s="270"/>
      <c r="AE106" s="270"/>
      <c r="AF106" s="270"/>
      <c r="AG106" s="270"/>
      <c r="AH106" s="270"/>
      <c r="AI106" s="270"/>
      <c r="AJ106" s="270"/>
      <c r="AK106" s="271"/>
      <c r="AL106"/>
      <c r="AM106"/>
      <c r="AN106"/>
      <c r="AO106"/>
      <c r="AP106" s="16"/>
      <c r="AQ106" s="16"/>
      <c r="AR106" s="16"/>
      <c r="AS106" s="16"/>
      <c r="AT106" s="16"/>
      <c r="AU106"/>
    </row>
    <row r="107" spans="1:47" x14ac:dyDescent="0.3">
      <c r="A107" s="49" t="s">
        <v>45</v>
      </c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10" t="str">
        <f t="shared" si="19"/>
        <v/>
      </c>
      <c r="U107" s="30" t="e">
        <f>+U104</f>
        <v>#DIV/0!</v>
      </c>
      <c r="V107" s="30"/>
      <c r="W107" s="10"/>
      <c r="X107" s="10"/>
      <c r="Y107" s="10"/>
      <c r="Z107" s="11"/>
      <c r="AA107" s="269"/>
      <c r="AB107" s="270"/>
      <c r="AC107" s="270"/>
      <c r="AD107" s="270"/>
      <c r="AE107" s="270"/>
      <c r="AF107" s="270"/>
      <c r="AG107" s="270"/>
      <c r="AH107" s="270"/>
      <c r="AI107" s="270"/>
      <c r="AJ107" s="270"/>
      <c r="AK107" s="271"/>
      <c r="AL107"/>
      <c r="AM107"/>
      <c r="AN107"/>
      <c r="AO107"/>
      <c r="AP107" s="16"/>
      <c r="AQ107" s="16"/>
      <c r="AR107" s="16"/>
      <c r="AS107" s="16"/>
      <c r="AT107" s="16"/>
      <c r="AU107"/>
    </row>
    <row r="108" spans="1:47" x14ac:dyDescent="0.3">
      <c r="A108" s="49" t="s">
        <v>20</v>
      </c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10" t="str">
        <f t="shared" si="19"/>
        <v/>
      </c>
      <c r="U108" s="30" t="e">
        <f>+U104</f>
        <v>#DIV/0!</v>
      </c>
      <c r="V108" s="30"/>
      <c r="W108" s="10"/>
      <c r="X108" s="10"/>
      <c r="Y108" s="10"/>
      <c r="Z108" s="11"/>
      <c r="AA108" s="269"/>
      <c r="AB108" s="270"/>
      <c r="AC108" s="270"/>
      <c r="AD108" s="270"/>
      <c r="AE108" s="270"/>
      <c r="AF108" s="270"/>
      <c r="AG108" s="270"/>
      <c r="AH108" s="270"/>
      <c r="AI108" s="270"/>
      <c r="AJ108" s="270"/>
      <c r="AK108" s="271"/>
      <c r="AL108"/>
      <c r="AM108"/>
      <c r="AN108"/>
      <c r="AO108"/>
      <c r="AP108" s="16"/>
      <c r="AQ108" s="16"/>
      <c r="AR108" s="16"/>
      <c r="AS108" s="16"/>
      <c r="AT108" s="16"/>
      <c r="AU108"/>
    </row>
    <row r="109" spans="1:47" x14ac:dyDescent="0.3">
      <c r="A109" s="49" t="s">
        <v>46</v>
      </c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10" t="str">
        <f t="shared" si="19"/>
        <v/>
      </c>
      <c r="U109" s="30" t="e">
        <f>+U104</f>
        <v>#DIV/0!</v>
      </c>
      <c r="V109" s="30"/>
      <c r="W109" s="10"/>
      <c r="X109" s="10"/>
      <c r="Y109" s="10"/>
      <c r="Z109" s="11"/>
      <c r="AA109" s="269"/>
      <c r="AB109" s="270"/>
      <c r="AC109" s="270"/>
      <c r="AD109" s="270"/>
      <c r="AE109" s="270"/>
      <c r="AF109" s="270"/>
      <c r="AG109" s="270"/>
      <c r="AH109" s="270"/>
      <c r="AI109" s="270"/>
      <c r="AJ109" s="270"/>
      <c r="AK109" s="271"/>
      <c r="AL109"/>
      <c r="AM109"/>
      <c r="AN109"/>
      <c r="AO109"/>
      <c r="AP109" s="16"/>
      <c r="AQ109" s="16"/>
      <c r="AR109" s="16"/>
      <c r="AS109" s="16"/>
      <c r="AT109" s="16"/>
      <c r="AU109"/>
    </row>
    <row r="110" spans="1:47" x14ac:dyDescent="0.3">
      <c r="A110" s="49" t="s">
        <v>21</v>
      </c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10" t="str">
        <f t="shared" si="19"/>
        <v/>
      </c>
      <c r="U110" s="30" t="e">
        <f>+U104</f>
        <v>#DIV/0!</v>
      </c>
      <c r="V110" s="30"/>
      <c r="W110" s="10"/>
      <c r="X110" s="10"/>
      <c r="Y110" s="10"/>
      <c r="Z110" s="11"/>
      <c r="AA110" s="269"/>
      <c r="AB110" s="270"/>
      <c r="AC110" s="270"/>
      <c r="AD110" s="270"/>
      <c r="AE110" s="270"/>
      <c r="AF110" s="270"/>
      <c r="AG110" s="270"/>
      <c r="AH110" s="270"/>
      <c r="AI110" s="270"/>
      <c r="AJ110" s="270"/>
      <c r="AK110" s="271"/>
      <c r="AL110"/>
      <c r="AM110"/>
      <c r="AN110"/>
      <c r="AO110"/>
      <c r="AP110" s="16"/>
      <c r="AQ110" s="16"/>
      <c r="AR110" s="16"/>
      <c r="AS110" s="16"/>
      <c r="AT110" s="16"/>
      <c r="AU110"/>
    </row>
    <row r="111" spans="1:47" x14ac:dyDescent="0.3">
      <c r="A111" s="9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1"/>
      <c r="AA111" s="269"/>
      <c r="AB111" s="270"/>
      <c r="AC111" s="270"/>
      <c r="AD111" s="270"/>
      <c r="AE111" s="270"/>
      <c r="AF111" s="270"/>
      <c r="AG111" s="270"/>
      <c r="AH111" s="270"/>
      <c r="AI111" s="270"/>
      <c r="AJ111" s="270"/>
      <c r="AK111" s="271"/>
      <c r="AL111"/>
      <c r="AM111"/>
      <c r="AN111"/>
      <c r="AO111"/>
      <c r="AP111" s="16"/>
      <c r="AQ111" s="16"/>
      <c r="AR111" s="16"/>
      <c r="AS111" s="16"/>
      <c r="AT111" s="16"/>
      <c r="AU111"/>
    </row>
    <row r="112" spans="1:47" x14ac:dyDescent="0.3">
      <c r="A112" s="9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1"/>
      <c r="AA112" s="269"/>
      <c r="AB112" s="270"/>
      <c r="AC112" s="270"/>
      <c r="AD112" s="270"/>
      <c r="AE112" s="270"/>
      <c r="AF112" s="270"/>
      <c r="AG112" s="270"/>
      <c r="AH112" s="270"/>
      <c r="AI112" s="270"/>
      <c r="AJ112" s="270"/>
      <c r="AK112" s="271"/>
      <c r="AL112"/>
      <c r="AM112"/>
      <c r="AN112"/>
      <c r="AO112"/>
      <c r="AP112" s="16"/>
      <c r="AQ112" s="16"/>
      <c r="AR112" s="16"/>
      <c r="AS112" s="16"/>
      <c r="AT112" s="16"/>
      <c r="AU112"/>
    </row>
    <row r="113" spans="1:47" x14ac:dyDescent="0.3">
      <c r="A113" s="9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1"/>
      <c r="AA113" s="269"/>
      <c r="AB113" s="270"/>
      <c r="AC113" s="270"/>
      <c r="AD113" s="270"/>
      <c r="AE113" s="270"/>
      <c r="AF113" s="270"/>
      <c r="AG113" s="270"/>
      <c r="AH113" s="270"/>
      <c r="AI113" s="270"/>
      <c r="AJ113" s="270"/>
      <c r="AK113" s="271"/>
      <c r="AL113"/>
      <c r="AM113"/>
      <c r="AN113"/>
      <c r="AO113"/>
      <c r="AP113" s="16"/>
      <c r="AQ113" s="16"/>
      <c r="AR113" s="16"/>
      <c r="AS113" s="16"/>
      <c r="AT113" s="16"/>
      <c r="AU113"/>
    </row>
    <row r="114" spans="1:47" x14ac:dyDescent="0.3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1"/>
      <c r="AA114" s="269"/>
      <c r="AB114" s="270"/>
      <c r="AC114" s="270"/>
      <c r="AD114" s="270"/>
      <c r="AE114" s="270"/>
      <c r="AF114" s="270"/>
      <c r="AG114" s="270"/>
      <c r="AH114" s="270"/>
      <c r="AI114" s="270"/>
      <c r="AJ114" s="270"/>
      <c r="AK114" s="271"/>
      <c r="AL114"/>
      <c r="AM114"/>
      <c r="AN114"/>
      <c r="AO114"/>
      <c r="AP114" s="16"/>
      <c r="AQ114" s="16"/>
      <c r="AR114" s="16"/>
      <c r="AS114" s="16"/>
      <c r="AT114" s="16"/>
      <c r="AU114"/>
    </row>
    <row r="115" spans="1:47" x14ac:dyDescent="0.3">
      <c r="A115" s="9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1"/>
      <c r="AA115" s="269"/>
      <c r="AB115" s="270"/>
      <c r="AC115" s="270"/>
      <c r="AD115" s="270"/>
      <c r="AE115" s="270"/>
      <c r="AF115" s="270"/>
      <c r="AG115" s="270"/>
      <c r="AH115" s="270"/>
      <c r="AI115" s="270"/>
      <c r="AJ115" s="270"/>
      <c r="AK115" s="271"/>
      <c r="AL115"/>
      <c r="AM115"/>
      <c r="AN115"/>
      <c r="AO115"/>
      <c r="AP115" s="16"/>
      <c r="AQ115" s="16"/>
      <c r="AR115" s="16"/>
      <c r="AS115" s="16"/>
      <c r="AT115" s="16"/>
      <c r="AU115"/>
    </row>
    <row r="116" spans="1:47" ht="15" thickBot="1" x14ac:dyDescent="0.35">
      <c r="A116" s="12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4"/>
      <c r="AA116" s="272"/>
      <c r="AB116" s="273"/>
      <c r="AC116" s="273"/>
      <c r="AD116" s="273"/>
      <c r="AE116" s="273"/>
      <c r="AF116" s="273"/>
      <c r="AG116" s="273"/>
      <c r="AH116" s="273"/>
      <c r="AI116" s="273"/>
      <c r="AJ116" s="273"/>
      <c r="AK116" s="274"/>
      <c r="AL116"/>
      <c r="AM116"/>
      <c r="AN116"/>
      <c r="AO116"/>
      <c r="AP116" s="16"/>
      <c r="AQ116" s="16"/>
      <c r="AR116" s="16"/>
      <c r="AS116" s="16"/>
      <c r="AT116" s="16"/>
      <c r="AU116"/>
    </row>
    <row r="117" spans="1:47" ht="15" thickBot="1" x14ac:dyDescent="0.35">
      <c r="A117" s="245" t="s">
        <v>90</v>
      </c>
      <c r="B117" s="246"/>
      <c r="C117" s="246"/>
      <c r="D117" s="246"/>
      <c r="E117" s="246"/>
      <c r="F117" s="246"/>
      <c r="G117" s="246"/>
      <c r="H117" s="246"/>
      <c r="I117" s="246"/>
      <c r="J117" s="246"/>
      <c r="K117" s="246"/>
      <c r="L117" s="246"/>
      <c r="M117" s="246"/>
      <c r="N117" s="246"/>
      <c r="O117" s="246"/>
      <c r="P117" s="246"/>
      <c r="Q117" s="246"/>
      <c r="R117" s="246"/>
      <c r="S117" s="246"/>
      <c r="T117" s="246"/>
      <c r="U117" s="246"/>
      <c r="V117" s="246"/>
      <c r="W117" s="246"/>
      <c r="X117" s="246"/>
      <c r="Y117" s="246"/>
      <c r="Z117" s="247"/>
      <c r="AA117" s="245" t="s">
        <v>62</v>
      </c>
      <c r="AB117" s="246"/>
      <c r="AC117" s="246"/>
      <c r="AD117" s="246"/>
      <c r="AE117" s="246"/>
      <c r="AF117" s="246"/>
      <c r="AG117" s="246"/>
      <c r="AH117" s="246"/>
      <c r="AI117" s="246"/>
      <c r="AJ117" s="246"/>
      <c r="AK117" s="247"/>
      <c r="AL117"/>
      <c r="AM117"/>
      <c r="AN117"/>
      <c r="AO117"/>
      <c r="AP117" s="16"/>
      <c r="AQ117" s="16"/>
      <c r="AR117" s="16"/>
      <c r="AS117" s="16"/>
      <c r="AT117" s="16"/>
      <c r="AU117"/>
    </row>
    <row r="118" spans="1:47" x14ac:dyDescent="0.3">
      <c r="A118" s="23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7"/>
      <c r="X118" s="7"/>
      <c r="Y118" s="7"/>
      <c r="Z118" s="8"/>
      <c r="AA118" s="275"/>
      <c r="AB118" s="276"/>
      <c r="AC118" s="276"/>
      <c r="AD118" s="276"/>
      <c r="AE118" s="276"/>
      <c r="AF118" s="276"/>
      <c r="AG118" s="276"/>
      <c r="AH118" s="276"/>
      <c r="AI118" s="276"/>
      <c r="AJ118" s="276"/>
      <c r="AK118" s="277"/>
      <c r="AL118"/>
      <c r="AM118"/>
      <c r="AN118"/>
      <c r="AO118"/>
      <c r="AP118" s="16"/>
      <c r="AQ118" s="16"/>
      <c r="AR118" s="16"/>
      <c r="AS118" s="16"/>
      <c r="AT118" s="16"/>
      <c r="AU118"/>
    </row>
    <row r="119" spans="1:47" x14ac:dyDescent="0.3">
      <c r="A119" s="48" t="s">
        <v>28</v>
      </c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25" t="str">
        <f>+AA54</f>
        <v/>
      </c>
      <c r="U119" s="46" t="e">
        <f>+AVERAGE(T119:T130)</f>
        <v>#DIV/0!</v>
      </c>
      <c r="V119" s="46"/>
      <c r="W119" s="10"/>
      <c r="X119" s="10"/>
      <c r="Y119" s="10"/>
      <c r="Z119" s="11"/>
      <c r="AA119" s="278"/>
      <c r="AB119" s="279"/>
      <c r="AC119" s="279"/>
      <c r="AD119" s="279"/>
      <c r="AE119" s="279"/>
      <c r="AF119" s="279"/>
      <c r="AG119" s="279"/>
      <c r="AH119" s="279"/>
      <c r="AI119" s="279"/>
      <c r="AJ119" s="279"/>
      <c r="AK119" s="280"/>
      <c r="AL119"/>
      <c r="AM119"/>
      <c r="AN119"/>
      <c r="AO119"/>
      <c r="AP119" s="16"/>
      <c r="AQ119" s="16"/>
      <c r="AR119" s="16"/>
      <c r="AS119" s="16"/>
      <c r="AT119" s="16"/>
      <c r="AU119"/>
    </row>
    <row r="120" spans="1:47" x14ac:dyDescent="0.3">
      <c r="A120" s="48" t="s">
        <v>29</v>
      </c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25" t="str">
        <f t="shared" ref="T120:T130" si="20">+AA55</f>
        <v/>
      </c>
      <c r="U120" s="46" t="e">
        <f>+$U$119</f>
        <v>#DIV/0!</v>
      </c>
      <c r="V120" s="46"/>
      <c r="W120" s="10"/>
      <c r="X120" s="10"/>
      <c r="Y120" s="10"/>
      <c r="Z120" s="11"/>
      <c r="AA120" s="278"/>
      <c r="AB120" s="279"/>
      <c r="AC120" s="279"/>
      <c r="AD120" s="279"/>
      <c r="AE120" s="279"/>
      <c r="AF120" s="279"/>
      <c r="AG120" s="279"/>
      <c r="AH120" s="279"/>
      <c r="AI120" s="279"/>
      <c r="AJ120" s="279"/>
      <c r="AK120" s="280"/>
      <c r="AL120"/>
      <c r="AM120"/>
      <c r="AN120"/>
      <c r="AO120"/>
      <c r="AP120" s="16"/>
      <c r="AQ120" s="16"/>
      <c r="AR120" s="16"/>
      <c r="AS120" s="16"/>
      <c r="AT120" s="16"/>
      <c r="AU120"/>
    </row>
    <row r="121" spans="1:47" x14ac:dyDescent="0.3">
      <c r="A121" s="48" t="s">
        <v>76</v>
      </c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25" t="str">
        <f t="shared" si="20"/>
        <v/>
      </c>
      <c r="U121" s="46" t="e">
        <f t="shared" ref="U121:U130" si="21">+$U$119</f>
        <v>#DIV/0!</v>
      </c>
      <c r="V121" s="46"/>
      <c r="W121" s="10"/>
      <c r="X121" s="10"/>
      <c r="Y121" s="10"/>
      <c r="Z121" s="11"/>
      <c r="AA121" s="278"/>
      <c r="AB121" s="279"/>
      <c r="AC121" s="279"/>
      <c r="AD121" s="279"/>
      <c r="AE121" s="279"/>
      <c r="AF121" s="279"/>
      <c r="AG121" s="279"/>
      <c r="AH121" s="279"/>
      <c r="AI121" s="279"/>
      <c r="AJ121" s="279"/>
      <c r="AK121" s="280"/>
      <c r="AL121"/>
      <c r="AM121"/>
      <c r="AN121"/>
      <c r="AO121"/>
      <c r="AP121" s="16"/>
      <c r="AQ121" s="16"/>
      <c r="AR121" s="16"/>
      <c r="AS121" s="16"/>
      <c r="AT121" s="16"/>
      <c r="AU121"/>
    </row>
    <row r="122" spans="1:47" x14ac:dyDescent="0.3">
      <c r="A122" s="48" t="s">
        <v>30</v>
      </c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25" t="str">
        <f t="shared" si="20"/>
        <v/>
      </c>
      <c r="U122" s="46" t="e">
        <f t="shared" si="21"/>
        <v>#DIV/0!</v>
      </c>
      <c r="V122" s="46"/>
      <c r="W122" s="10"/>
      <c r="X122" s="10"/>
      <c r="Y122" s="10"/>
      <c r="Z122" s="11"/>
      <c r="AA122" s="278"/>
      <c r="AB122" s="279"/>
      <c r="AC122" s="279"/>
      <c r="AD122" s="279"/>
      <c r="AE122" s="279"/>
      <c r="AF122" s="279"/>
      <c r="AG122" s="279"/>
      <c r="AH122" s="279"/>
      <c r="AI122" s="279"/>
      <c r="AJ122" s="279"/>
      <c r="AK122" s="280"/>
      <c r="AL122"/>
      <c r="AM122"/>
      <c r="AN122"/>
      <c r="AO122"/>
      <c r="AP122" s="16"/>
      <c r="AQ122" s="16"/>
      <c r="AR122" s="16"/>
      <c r="AS122" s="16"/>
      <c r="AT122" s="16"/>
      <c r="AU122"/>
    </row>
    <row r="123" spans="1:47" x14ac:dyDescent="0.3">
      <c r="A123" s="48" t="s">
        <v>40</v>
      </c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25" t="str">
        <f t="shared" si="20"/>
        <v/>
      </c>
      <c r="U123" s="46" t="e">
        <f t="shared" si="21"/>
        <v>#DIV/0!</v>
      </c>
      <c r="V123" s="46"/>
      <c r="W123" s="10"/>
      <c r="X123" s="10"/>
      <c r="Y123" s="10"/>
      <c r="Z123" s="11"/>
      <c r="AA123" s="278"/>
      <c r="AB123" s="279"/>
      <c r="AC123" s="279"/>
      <c r="AD123" s="279"/>
      <c r="AE123" s="279"/>
      <c r="AF123" s="279"/>
      <c r="AG123" s="279"/>
      <c r="AH123" s="279"/>
      <c r="AI123" s="279"/>
      <c r="AJ123" s="279"/>
      <c r="AK123" s="280"/>
      <c r="AL123"/>
      <c r="AM123"/>
      <c r="AN123"/>
      <c r="AO123"/>
      <c r="AP123" s="16"/>
      <c r="AQ123" s="16"/>
      <c r="AR123" s="16"/>
      <c r="AS123" s="16"/>
      <c r="AT123" s="16"/>
      <c r="AU123"/>
    </row>
    <row r="124" spans="1:47" x14ac:dyDescent="0.3">
      <c r="A124" s="48" t="s">
        <v>31</v>
      </c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25" t="str">
        <f t="shared" si="20"/>
        <v/>
      </c>
      <c r="U124" s="46" t="e">
        <f t="shared" si="21"/>
        <v>#DIV/0!</v>
      </c>
      <c r="V124" s="46"/>
      <c r="W124" s="10"/>
      <c r="X124" s="10"/>
      <c r="Y124" s="10"/>
      <c r="Z124" s="11"/>
      <c r="AA124" s="278"/>
      <c r="AB124" s="279"/>
      <c r="AC124" s="279"/>
      <c r="AD124" s="279"/>
      <c r="AE124" s="279"/>
      <c r="AF124" s="279"/>
      <c r="AG124" s="279"/>
      <c r="AH124" s="279"/>
      <c r="AI124" s="279"/>
      <c r="AJ124" s="279"/>
      <c r="AK124" s="280"/>
      <c r="AL124"/>
      <c r="AM124"/>
      <c r="AN124"/>
      <c r="AO124"/>
      <c r="AP124" s="16"/>
      <c r="AQ124" s="16"/>
      <c r="AR124" s="16"/>
      <c r="AS124" s="16"/>
      <c r="AT124" s="16"/>
      <c r="AU124"/>
    </row>
    <row r="125" spans="1:47" x14ac:dyDescent="0.3">
      <c r="A125" s="48" t="s">
        <v>41</v>
      </c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25" t="str">
        <f t="shared" si="20"/>
        <v/>
      </c>
      <c r="U125" s="46" t="e">
        <f t="shared" si="21"/>
        <v>#DIV/0!</v>
      </c>
      <c r="V125" s="46"/>
      <c r="W125" s="10"/>
      <c r="X125" s="10"/>
      <c r="Y125" s="10"/>
      <c r="Z125" s="11"/>
      <c r="AA125" s="278"/>
      <c r="AB125" s="279"/>
      <c r="AC125" s="279"/>
      <c r="AD125" s="279"/>
      <c r="AE125" s="279"/>
      <c r="AF125" s="279"/>
      <c r="AG125" s="279"/>
      <c r="AH125" s="279"/>
      <c r="AI125" s="279"/>
      <c r="AJ125" s="279"/>
      <c r="AK125" s="280"/>
      <c r="AL125"/>
      <c r="AM125"/>
      <c r="AN125"/>
      <c r="AO125"/>
      <c r="AP125" s="16"/>
      <c r="AQ125" s="16"/>
      <c r="AR125" s="16"/>
      <c r="AS125" s="16"/>
      <c r="AT125" s="16"/>
      <c r="AU125"/>
    </row>
    <row r="126" spans="1:47" x14ac:dyDescent="0.3">
      <c r="A126" s="48" t="s">
        <v>42</v>
      </c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25" t="str">
        <f t="shared" si="20"/>
        <v/>
      </c>
      <c r="U126" s="46" t="e">
        <f t="shared" si="21"/>
        <v>#DIV/0!</v>
      </c>
      <c r="V126" s="46"/>
      <c r="W126" s="10"/>
      <c r="X126" s="10"/>
      <c r="Y126" s="10"/>
      <c r="Z126" s="11"/>
      <c r="AA126" s="278"/>
      <c r="AB126" s="279"/>
      <c r="AC126" s="279"/>
      <c r="AD126" s="279"/>
      <c r="AE126" s="279"/>
      <c r="AF126" s="279"/>
      <c r="AG126" s="279"/>
      <c r="AH126" s="279"/>
      <c r="AI126" s="279"/>
      <c r="AJ126" s="279"/>
      <c r="AK126" s="280"/>
      <c r="AL126"/>
      <c r="AM126"/>
      <c r="AN126"/>
      <c r="AO126"/>
      <c r="AP126" s="16"/>
      <c r="AQ126" s="16"/>
      <c r="AR126" s="16"/>
      <c r="AS126" s="16"/>
      <c r="AT126" s="16"/>
      <c r="AU126"/>
    </row>
    <row r="127" spans="1:47" x14ac:dyDescent="0.3">
      <c r="A127" s="48" t="s">
        <v>77</v>
      </c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25" t="str">
        <f t="shared" si="20"/>
        <v/>
      </c>
      <c r="U127" s="46" t="e">
        <f t="shared" si="21"/>
        <v>#DIV/0!</v>
      </c>
      <c r="V127" s="46"/>
      <c r="W127" s="10"/>
      <c r="X127" s="10"/>
      <c r="Y127" s="10"/>
      <c r="Z127" s="11"/>
      <c r="AA127" s="278"/>
      <c r="AB127" s="279"/>
      <c r="AC127" s="279"/>
      <c r="AD127" s="279"/>
      <c r="AE127" s="279"/>
      <c r="AF127" s="279"/>
      <c r="AG127" s="279"/>
      <c r="AH127" s="279"/>
      <c r="AI127" s="279"/>
      <c r="AJ127" s="279"/>
      <c r="AK127" s="280"/>
      <c r="AL127"/>
      <c r="AM127"/>
      <c r="AN127"/>
      <c r="AO127"/>
      <c r="AP127" s="16"/>
      <c r="AQ127" s="16"/>
      <c r="AR127" s="16"/>
      <c r="AS127" s="16"/>
      <c r="AT127" s="16"/>
      <c r="AU127"/>
    </row>
    <row r="128" spans="1:47" x14ac:dyDescent="0.3">
      <c r="A128" s="48" t="s">
        <v>78</v>
      </c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25" t="str">
        <f t="shared" si="20"/>
        <v/>
      </c>
      <c r="U128" s="46" t="e">
        <f t="shared" si="21"/>
        <v>#DIV/0!</v>
      </c>
      <c r="V128" s="46"/>
      <c r="W128" s="10"/>
      <c r="X128" s="10"/>
      <c r="Y128" s="10"/>
      <c r="Z128" s="11"/>
      <c r="AA128" s="278"/>
      <c r="AB128" s="279"/>
      <c r="AC128" s="279"/>
      <c r="AD128" s="279"/>
      <c r="AE128" s="279"/>
      <c r="AF128" s="279"/>
      <c r="AG128" s="279"/>
      <c r="AH128" s="279"/>
      <c r="AI128" s="279"/>
      <c r="AJ128" s="279"/>
      <c r="AK128" s="280"/>
      <c r="AL128"/>
      <c r="AM128"/>
      <c r="AN128"/>
      <c r="AO128"/>
      <c r="AP128" s="16"/>
      <c r="AQ128" s="16"/>
      <c r="AR128" s="16"/>
      <c r="AS128" s="16"/>
      <c r="AT128" s="16"/>
      <c r="AU128"/>
    </row>
    <row r="129" spans="1:47" x14ac:dyDescent="0.3">
      <c r="A129" s="48" t="s">
        <v>32</v>
      </c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25" t="str">
        <f t="shared" si="20"/>
        <v/>
      </c>
      <c r="U129" s="46" t="e">
        <f t="shared" si="21"/>
        <v>#DIV/0!</v>
      </c>
      <c r="V129" s="46"/>
      <c r="W129" s="10"/>
      <c r="X129" s="10"/>
      <c r="Y129" s="10"/>
      <c r="Z129" s="11"/>
      <c r="AA129" s="278"/>
      <c r="AB129" s="279"/>
      <c r="AC129" s="279"/>
      <c r="AD129" s="279"/>
      <c r="AE129" s="279"/>
      <c r="AF129" s="279"/>
      <c r="AG129" s="279"/>
      <c r="AH129" s="279"/>
      <c r="AI129" s="279"/>
      <c r="AJ129" s="279"/>
      <c r="AK129" s="280"/>
      <c r="AL129"/>
      <c r="AM129"/>
      <c r="AN129"/>
      <c r="AO129"/>
      <c r="AP129" s="16"/>
      <c r="AQ129" s="16"/>
      <c r="AR129" s="16"/>
      <c r="AS129" s="16"/>
      <c r="AT129" s="16"/>
      <c r="AU129"/>
    </row>
    <row r="130" spans="1:47" x14ac:dyDescent="0.3">
      <c r="A130" s="48" t="s">
        <v>71</v>
      </c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25" t="str">
        <f t="shared" si="20"/>
        <v/>
      </c>
      <c r="U130" s="46" t="e">
        <f t="shared" si="21"/>
        <v>#DIV/0!</v>
      </c>
      <c r="V130" s="46"/>
      <c r="W130" s="10"/>
      <c r="X130" s="10"/>
      <c r="Y130" s="10"/>
      <c r="Z130" s="11"/>
      <c r="AA130" s="278"/>
      <c r="AB130" s="279"/>
      <c r="AC130" s="279"/>
      <c r="AD130" s="279"/>
      <c r="AE130" s="279"/>
      <c r="AF130" s="279"/>
      <c r="AG130" s="279"/>
      <c r="AH130" s="279"/>
      <c r="AI130" s="279"/>
      <c r="AJ130" s="279"/>
      <c r="AK130" s="280"/>
      <c r="AL130"/>
      <c r="AM130"/>
      <c r="AN130"/>
      <c r="AO130"/>
      <c r="AP130" s="16"/>
      <c r="AQ130" s="16"/>
      <c r="AR130" s="16"/>
      <c r="AS130" s="16"/>
      <c r="AT130" s="16"/>
      <c r="AU130"/>
    </row>
    <row r="131" spans="1:47" x14ac:dyDescent="0.3">
      <c r="A131" s="9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1"/>
      <c r="AA131" s="278"/>
      <c r="AB131" s="279"/>
      <c r="AC131" s="279"/>
      <c r="AD131" s="279"/>
      <c r="AE131" s="279"/>
      <c r="AF131" s="279"/>
      <c r="AG131" s="279"/>
      <c r="AH131" s="279"/>
      <c r="AI131" s="279"/>
      <c r="AJ131" s="279"/>
      <c r="AK131" s="280"/>
      <c r="AL131"/>
      <c r="AM131"/>
      <c r="AN131"/>
      <c r="AO131"/>
      <c r="AP131" s="16"/>
      <c r="AQ131" s="16"/>
      <c r="AR131" s="16"/>
      <c r="AS131" s="16"/>
      <c r="AT131" s="16"/>
      <c r="AU131"/>
    </row>
    <row r="132" spans="1:47" x14ac:dyDescent="0.3">
      <c r="A132" s="9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1"/>
      <c r="AA132" s="278"/>
      <c r="AB132" s="279"/>
      <c r="AC132" s="279"/>
      <c r="AD132" s="279"/>
      <c r="AE132" s="279"/>
      <c r="AF132" s="279"/>
      <c r="AG132" s="279"/>
      <c r="AH132" s="279"/>
      <c r="AI132" s="279"/>
      <c r="AJ132" s="279"/>
      <c r="AK132" s="280"/>
      <c r="AL132"/>
      <c r="AM132"/>
      <c r="AN132"/>
      <c r="AO132"/>
      <c r="AP132" s="16"/>
      <c r="AQ132" s="16"/>
      <c r="AR132" s="16"/>
      <c r="AS132" s="16"/>
      <c r="AT132" s="16"/>
      <c r="AU132"/>
    </row>
    <row r="133" spans="1:47" x14ac:dyDescent="0.3">
      <c r="A133" s="9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1"/>
      <c r="AA133" s="278"/>
      <c r="AB133" s="279"/>
      <c r="AC133" s="279"/>
      <c r="AD133" s="279"/>
      <c r="AE133" s="279"/>
      <c r="AF133" s="279"/>
      <c r="AG133" s="279"/>
      <c r="AH133" s="279"/>
      <c r="AI133" s="279"/>
      <c r="AJ133" s="279"/>
      <c r="AK133" s="280"/>
      <c r="AL133"/>
      <c r="AM133"/>
      <c r="AN133"/>
      <c r="AO133"/>
      <c r="AP133" s="16"/>
      <c r="AQ133" s="16"/>
      <c r="AR133" s="16"/>
      <c r="AS133" s="16"/>
      <c r="AT133" s="16"/>
      <c r="AU133"/>
    </row>
    <row r="134" spans="1:47" x14ac:dyDescent="0.3">
      <c r="A134" s="9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1"/>
      <c r="AA134" s="278"/>
      <c r="AB134" s="279"/>
      <c r="AC134" s="279"/>
      <c r="AD134" s="279"/>
      <c r="AE134" s="279"/>
      <c r="AF134" s="279"/>
      <c r="AG134" s="279"/>
      <c r="AH134" s="279"/>
      <c r="AI134" s="279"/>
      <c r="AJ134" s="279"/>
      <c r="AK134" s="280"/>
      <c r="AL134"/>
      <c r="AM134"/>
      <c r="AN134"/>
      <c r="AO134"/>
      <c r="AP134" s="16"/>
      <c r="AQ134" s="16"/>
      <c r="AR134" s="16"/>
      <c r="AS134" s="16"/>
      <c r="AT134" s="16"/>
      <c r="AU134"/>
    </row>
    <row r="135" spans="1:47" x14ac:dyDescent="0.3">
      <c r="A135" s="9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1"/>
      <c r="AA135" s="278"/>
      <c r="AB135" s="279"/>
      <c r="AC135" s="279"/>
      <c r="AD135" s="279"/>
      <c r="AE135" s="279"/>
      <c r="AF135" s="279"/>
      <c r="AG135" s="279"/>
      <c r="AH135" s="279"/>
      <c r="AI135" s="279"/>
      <c r="AJ135" s="279"/>
      <c r="AK135" s="280"/>
      <c r="AL135"/>
      <c r="AM135"/>
      <c r="AN135"/>
      <c r="AO135"/>
      <c r="AP135" s="16"/>
      <c r="AQ135" s="16"/>
      <c r="AR135" s="16"/>
      <c r="AS135" s="16"/>
      <c r="AT135" s="16"/>
      <c r="AU135"/>
    </row>
    <row r="136" spans="1:47" x14ac:dyDescent="0.3">
      <c r="A136" s="9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1"/>
      <c r="AA136" s="278"/>
      <c r="AB136" s="279"/>
      <c r="AC136" s="279"/>
      <c r="AD136" s="279"/>
      <c r="AE136" s="279"/>
      <c r="AF136" s="279"/>
      <c r="AG136" s="279"/>
      <c r="AH136" s="279"/>
      <c r="AI136" s="279"/>
      <c r="AJ136" s="279"/>
      <c r="AK136" s="280"/>
      <c r="AL136"/>
      <c r="AM136"/>
      <c r="AN136"/>
      <c r="AO136"/>
      <c r="AP136" s="16"/>
      <c r="AQ136" s="16"/>
      <c r="AR136" s="16"/>
      <c r="AS136" s="16"/>
      <c r="AT136" s="16"/>
      <c r="AU136"/>
    </row>
    <row r="137" spans="1:47" ht="15" thickBot="1" x14ac:dyDescent="0.35">
      <c r="A137" s="12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4"/>
      <c r="AA137" s="281"/>
      <c r="AB137" s="282"/>
      <c r="AC137" s="282"/>
      <c r="AD137" s="282"/>
      <c r="AE137" s="282"/>
      <c r="AF137" s="282"/>
      <c r="AG137" s="282"/>
      <c r="AH137" s="282"/>
      <c r="AI137" s="282"/>
      <c r="AJ137" s="282"/>
      <c r="AK137" s="283"/>
      <c r="AL137"/>
      <c r="AM137"/>
      <c r="AN137"/>
      <c r="AO137"/>
      <c r="AP137" s="16"/>
      <c r="AQ137" s="16"/>
      <c r="AR137" s="16"/>
      <c r="AS137" s="16"/>
      <c r="AT137" s="16"/>
      <c r="AU137"/>
    </row>
    <row r="138" spans="1:47" ht="15" thickBot="1" x14ac:dyDescent="0.35">
      <c r="A138" s="245" t="s">
        <v>91</v>
      </c>
      <c r="B138" s="246"/>
      <c r="C138" s="246"/>
      <c r="D138" s="246"/>
      <c r="E138" s="246"/>
      <c r="F138" s="246"/>
      <c r="G138" s="246"/>
      <c r="H138" s="246"/>
      <c r="I138" s="246"/>
      <c r="J138" s="246"/>
      <c r="K138" s="246"/>
      <c r="L138" s="246"/>
      <c r="M138" s="246"/>
      <c r="N138" s="246"/>
      <c r="O138" s="246"/>
      <c r="P138" s="246"/>
      <c r="Q138" s="246"/>
      <c r="R138" s="246"/>
      <c r="S138" s="246"/>
      <c r="T138" s="246"/>
      <c r="U138" s="246"/>
      <c r="V138" s="246"/>
      <c r="W138" s="246"/>
      <c r="X138" s="246"/>
      <c r="Y138" s="246"/>
      <c r="Z138" s="247"/>
      <c r="AA138" s="245" t="s">
        <v>62</v>
      </c>
      <c r="AB138" s="246"/>
      <c r="AC138" s="246"/>
      <c r="AD138" s="246"/>
      <c r="AE138" s="246"/>
      <c r="AF138" s="246"/>
      <c r="AG138" s="246"/>
      <c r="AH138" s="246"/>
      <c r="AI138" s="246"/>
      <c r="AJ138" s="246"/>
      <c r="AK138" s="247"/>
      <c r="AL138"/>
      <c r="AM138"/>
      <c r="AN138"/>
      <c r="AO138"/>
      <c r="AP138" s="16"/>
      <c r="AQ138" s="16"/>
      <c r="AR138" s="16"/>
      <c r="AS138" s="16"/>
      <c r="AT138" s="16"/>
      <c r="AU138"/>
    </row>
    <row r="139" spans="1:47" x14ac:dyDescent="0.3">
      <c r="A139" s="23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7"/>
      <c r="X139" s="7"/>
      <c r="Y139" s="7"/>
      <c r="Z139" s="8"/>
      <c r="AA139" s="284"/>
      <c r="AB139" s="285"/>
      <c r="AC139" s="285"/>
      <c r="AD139" s="285"/>
      <c r="AE139" s="285"/>
      <c r="AF139" s="285"/>
      <c r="AG139" s="285"/>
      <c r="AH139" s="285"/>
      <c r="AI139" s="285"/>
      <c r="AJ139" s="285"/>
      <c r="AK139" s="286"/>
      <c r="AL139"/>
      <c r="AM139"/>
      <c r="AN139"/>
      <c r="AO139"/>
      <c r="AP139" s="16"/>
      <c r="AQ139" s="16"/>
      <c r="AR139" s="16"/>
      <c r="AS139" s="16"/>
      <c r="AT139" s="16"/>
      <c r="AU139"/>
    </row>
    <row r="140" spans="1:47" x14ac:dyDescent="0.3">
      <c r="A140" s="47" t="s">
        <v>79</v>
      </c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26" t="str">
        <f>+AA68</f>
        <v/>
      </c>
      <c r="U140" s="43" t="e">
        <f>+AVERAGE(T140:T148)</f>
        <v>#DIV/0!</v>
      </c>
      <c r="V140" s="43"/>
      <c r="W140" s="10"/>
      <c r="X140" s="10"/>
      <c r="Y140" s="10"/>
      <c r="Z140" s="11"/>
      <c r="AA140" s="287"/>
      <c r="AB140" s="288"/>
      <c r="AC140" s="288"/>
      <c r="AD140" s="288"/>
      <c r="AE140" s="288"/>
      <c r="AF140" s="288"/>
      <c r="AG140" s="288"/>
      <c r="AH140" s="288"/>
      <c r="AI140" s="288"/>
      <c r="AJ140" s="288"/>
      <c r="AK140" s="289"/>
      <c r="AL140"/>
      <c r="AM140"/>
      <c r="AN140"/>
      <c r="AO140"/>
      <c r="AP140" s="16"/>
      <c r="AQ140" s="16"/>
      <c r="AR140" s="16"/>
      <c r="AS140" s="16"/>
      <c r="AT140" s="16"/>
      <c r="AU140"/>
    </row>
    <row r="141" spans="1:47" x14ac:dyDescent="0.3">
      <c r="A141" s="47" t="s">
        <v>72</v>
      </c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26" t="str">
        <f t="shared" ref="T141:T148" si="22">+AA69</f>
        <v/>
      </c>
      <c r="U141" s="43" t="e">
        <f>+$U$140</f>
        <v>#DIV/0!</v>
      </c>
      <c r="V141" s="43"/>
      <c r="W141" s="10"/>
      <c r="X141" s="10"/>
      <c r="Y141" s="10"/>
      <c r="Z141" s="11"/>
      <c r="AA141" s="287"/>
      <c r="AB141" s="288"/>
      <c r="AC141" s="288"/>
      <c r="AD141" s="288"/>
      <c r="AE141" s="288"/>
      <c r="AF141" s="288"/>
      <c r="AG141" s="288"/>
      <c r="AH141" s="288"/>
      <c r="AI141" s="288"/>
      <c r="AJ141" s="288"/>
      <c r="AK141" s="289"/>
      <c r="AL141"/>
      <c r="AM141"/>
      <c r="AN141"/>
      <c r="AO141"/>
      <c r="AP141" s="16"/>
      <c r="AQ141" s="16"/>
      <c r="AR141" s="16"/>
      <c r="AS141" s="16"/>
      <c r="AT141" s="16"/>
      <c r="AU141"/>
    </row>
    <row r="142" spans="1:47" x14ac:dyDescent="0.3">
      <c r="A142" s="47" t="s">
        <v>37</v>
      </c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26" t="str">
        <f t="shared" si="22"/>
        <v/>
      </c>
      <c r="U142" s="43" t="e">
        <f t="shared" ref="U142:U148" si="23">+$U$140</f>
        <v>#DIV/0!</v>
      </c>
      <c r="V142" s="43"/>
      <c r="W142" s="10"/>
      <c r="X142" s="10"/>
      <c r="Y142" s="10"/>
      <c r="Z142" s="11"/>
      <c r="AA142" s="287"/>
      <c r="AB142" s="288"/>
      <c r="AC142" s="288"/>
      <c r="AD142" s="288"/>
      <c r="AE142" s="288"/>
      <c r="AF142" s="288"/>
      <c r="AG142" s="288"/>
      <c r="AH142" s="288"/>
      <c r="AI142" s="288"/>
      <c r="AJ142" s="288"/>
      <c r="AK142" s="289"/>
      <c r="AL142"/>
      <c r="AM142"/>
      <c r="AN142"/>
      <c r="AO142"/>
      <c r="AP142" s="16"/>
      <c r="AQ142" s="16"/>
      <c r="AR142" s="16"/>
      <c r="AS142" s="16"/>
      <c r="AT142" s="16"/>
      <c r="AU142"/>
    </row>
    <row r="143" spans="1:47" x14ac:dyDescent="0.3">
      <c r="A143" s="47" t="s">
        <v>38</v>
      </c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26" t="str">
        <f t="shared" si="22"/>
        <v/>
      </c>
      <c r="U143" s="43" t="e">
        <f t="shared" si="23"/>
        <v>#DIV/0!</v>
      </c>
      <c r="V143" s="43"/>
      <c r="W143" s="10"/>
      <c r="X143" s="10"/>
      <c r="Y143" s="10"/>
      <c r="Z143" s="11"/>
      <c r="AA143" s="287"/>
      <c r="AB143" s="288"/>
      <c r="AC143" s="288"/>
      <c r="AD143" s="288"/>
      <c r="AE143" s="288"/>
      <c r="AF143" s="288"/>
      <c r="AG143" s="288"/>
      <c r="AH143" s="288"/>
      <c r="AI143" s="288"/>
      <c r="AJ143" s="288"/>
      <c r="AK143" s="289"/>
      <c r="AL143"/>
      <c r="AM143"/>
      <c r="AN143"/>
      <c r="AO143"/>
      <c r="AP143" s="16"/>
      <c r="AQ143" s="16"/>
      <c r="AR143" s="16"/>
      <c r="AS143" s="16"/>
      <c r="AT143" s="16"/>
      <c r="AU143"/>
    </row>
    <row r="144" spans="1:47" x14ac:dyDescent="0.3">
      <c r="A144" s="47" t="s">
        <v>80</v>
      </c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26" t="str">
        <f t="shared" si="22"/>
        <v/>
      </c>
      <c r="U144" s="43" t="e">
        <f t="shared" si="23"/>
        <v>#DIV/0!</v>
      </c>
      <c r="V144" s="43"/>
      <c r="W144" s="10"/>
      <c r="X144" s="10"/>
      <c r="Y144" s="10"/>
      <c r="Z144" s="11"/>
      <c r="AA144" s="287"/>
      <c r="AB144" s="288"/>
      <c r="AC144" s="288"/>
      <c r="AD144" s="288"/>
      <c r="AE144" s="288"/>
      <c r="AF144" s="288"/>
      <c r="AG144" s="288"/>
      <c r="AH144" s="288"/>
      <c r="AI144" s="288"/>
      <c r="AJ144" s="288"/>
      <c r="AK144" s="289"/>
      <c r="AL144"/>
      <c r="AM144"/>
      <c r="AN144"/>
      <c r="AO144"/>
      <c r="AP144" s="16"/>
      <c r="AQ144" s="16"/>
      <c r="AR144" s="16"/>
      <c r="AS144" s="16"/>
      <c r="AT144" s="16"/>
      <c r="AU144"/>
    </row>
    <row r="145" spans="1:47" x14ac:dyDescent="0.3">
      <c r="A145" s="47" t="s">
        <v>39</v>
      </c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26" t="str">
        <f t="shared" si="22"/>
        <v/>
      </c>
      <c r="U145" s="43" t="e">
        <f t="shared" si="23"/>
        <v>#DIV/0!</v>
      </c>
      <c r="V145" s="43"/>
      <c r="W145" s="10"/>
      <c r="X145" s="10"/>
      <c r="Y145" s="10"/>
      <c r="Z145" s="11"/>
      <c r="AA145" s="287"/>
      <c r="AB145" s="288"/>
      <c r="AC145" s="288"/>
      <c r="AD145" s="288"/>
      <c r="AE145" s="288"/>
      <c r="AF145" s="288"/>
      <c r="AG145" s="288"/>
      <c r="AH145" s="288"/>
      <c r="AI145" s="288"/>
      <c r="AJ145" s="288"/>
      <c r="AK145" s="289"/>
      <c r="AL145"/>
      <c r="AM145"/>
      <c r="AN145"/>
      <c r="AO145"/>
      <c r="AP145" s="16"/>
      <c r="AQ145" s="16"/>
      <c r="AR145" s="16"/>
      <c r="AS145" s="16"/>
      <c r="AT145" s="16"/>
      <c r="AU145"/>
    </row>
    <row r="146" spans="1:47" x14ac:dyDescent="0.3">
      <c r="A146" s="47" t="s">
        <v>81</v>
      </c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26" t="str">
        <f t="shared" si="22"/>
        <v/>
      </c>
      <c r="U146" s="43" t="e">
        <f t="shared" si="23"/>
        <v>#DIV/0!</v>
      </c>
      <c r="V146" s="43"/>
      <c r="W146" s="10"/>
      <c r="X146" s="10"/>
      <c r="Y146" s="10"/>
      <c r="Z146" s="11"/>
      <c r="AA146" s="287"/>
      <c r="AB146" s="288"/>
      <c r="AC146" s="288"/>
      <c r="AD146" s="288"/>
      <c r="AE146" s="288"/>
      <c r="AF146" s="288"/>
      <c r="AG146" s="288"/>
      <c r="AH146" s="288"/>
      <c r="AI146" s="288"/>
      <c r="AJ146" s="288"/>
      <c r="AK146" s="289"/>
      <c r="AL146"/>
      <c r="AM146"/>
      <c r="AN146"/>
      <c r="AO146"/>
      <c r="AP146" s="16"/>
      <c r="AQ146" s="16"/>
      <c r="AR146" s="16"/>
      <c r="AS146" s="16"/>
      <c r="AT146" s="16"/>
      <c r="AU146"/>
    </row>
    <row r="147" spans="1:47" x14ac:dyDescent="0.3">
      <c r="A147" s="47" t="s">
        <v>74</v>
      </c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26" t="str">
        <f t="shared" si="22"/>
        <v/>
      </c>
      <c r="U147" s="43" t="e">
        <f t="shared" si="23"/>
        <v>#DIV/0!</v>
      </c>
      <c r="V147" s="43"/>
      <c r="W147" s="10"/>
      <c r="X147" s="10"/>
      <c r="Y147" s="10"/>
      <c r="Z147" s="11"/>
      <c r="AA147" s="287"/>
      <c r="AB147" s="288"/>
      <c r="AC147" s="288"/>
      <c r="AD147" s="288"/>
      <c r="AE147" s="288"/>
      <c r="AF147" s="288"/>
      <c r="AG147" s="288"/>
      <c r="AH147" s="288"/>
      <c r="AI147" s="288"/>
      <c r="AJ147" s="288"/>
      <c r="AK147" s="289"/>
      <c r="AL147"/>
      <c r="AM147"/>
      <c r="AN147"/>
      <c r="AO147"/>
      <c r="AP147" s="16"/>
      <c r="AQ147" s="16"/>
      <c r="AR147" s="16"/>
      <c r="AS147" s="16"/>
      <c r="AT147" s="16"/>
      <c r="AU147"/>
    </row>
    <row r="148" spans="1:47" x14ac:dyDescent="0.3">
      <c r="A148" s="47" t="s">
        <v>73</v>
      </c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26" t="str">
        <f t="shared" si="22"/>
        <v/>
      </c>
      <c r="U148" s="43" t="e">
        <f t="shared" si="23"/>
        <v>#DIV/0!</v>
      </c>
      <c r="V148" s="43"/>
      <c r="W148" s="10"/>
      <c r="X148" s="10"/>
      <c r="Y148" s="10"/>
      <c r="Z148" s="11"/>
      <c r="AA148" s="287"/>
      <c r="AB148" s="288"/>
      <c r="AC148" s="288"/>
      <c r="AD148" s="288"/>
      <c r="AE148" s="288"/>
      <c r="AF148" s="288"/>
      <c r="AG148" s="288"/>
      <c r="AH148" s="288"/>
      <c r="AI148" s="288"/>
      <c r="AJ148" s="288"/>
      <c r="AK148" s="289"/>
      <c r="AL148"/>
      <c r="AM148"/>
      <c r="AN148"/>
      <c r="AO148"/>
      <c r="AP148" s="16"/>
      <c r="AQ148" s="16"/>
      <c r="AR148" s="16"/>
      <c r="AS148" s="16"/>
      <c r="AT148" s="16"/>
      <c r="AU148"/>
    </row>
    <row r="149" spans="1:47" x14ac:dyDescent="0.3">
      <c r="A149" s="24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10"/>
      <c r="X149" s="10"/>
      <c r="Y149" s="10"/>
      <c r="Z149" s="11"/>
      <c r="AA149" s="287"/>
      <c r="AB149" s="288"/>
      <c r="AC149" s="288"/>
      <c r="AD149" s="288"/>
      <c r="AE149" s="288"/>
      <c r="AF149" s="288"/>
      <c r="AG149" s="288"/>
      <c r="AH149" s="288"/>
      <c r="AI149" s="288"/>
      <c r="AJ149" s="288"/>
      <c r="AK149" s="289"/>
      <c r="AL149"/>
      <c r="AM149"/>
      <c r="AN149"/>
      <c r="AO149"/>
      <c r="AP149" s="16"/>
      <c r="AQ149" s="16"/>
      <c r="AR149" s="16"/>
      <c r="AS149" s="16"/>
      <c r="AT149" s="16"/>
      <c r="AU149"/>
    </row>
    <row r="150" spans="1:47" x14ac:dyDescent="0.3">
      <c r="A150" s="24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10"/>
      <c r="U150" s="10"/>
      <c r="V150" s="10"/>
      <c r="W150" s="10"/>
      <c r="X150" s="10"/>
      <c r="Y150" s="10"/>
      <c r="Z150" s="11"/>
      <c r="AA150" s="287"/>
      <c r="AB150" s="288"/>
      <c r="AC150" s="288"/>
      <c r="AD150" s="288"/>
      <c r="AE150" s="288"/>
      <c r="AF150" s="288"/>
      <c r="AG150" s="288"/>
      <c r="AH150" s="288"/>
      <c r="AI150" s="288"/>
      <c r="AJ150" s="288"/>
      <c r="AK150" s="289"/>
      <c r="AL150"/>
      <c r="AM150"/>
      <c r="AN150"/>
      <c r="AO150"/>
      <c r="AP150" s="16"/>
      <c r="AQ150" s="16"/>
      <c r="AR150" s="16"/>
      <c r="AS150" s="16"/>
      <c r="AT150" s="16"/>
      <c r="AU150"/>
    </row>
    <row r="151" spans="1:47" x14ac:dyDescent="0.3">
      <c r="A151" s="9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1"/>
      <c r="AA151" s="287"/>
      <c r="AB151" s="288"/>
      <c r="AC151" s="288"/>
      <c r="AD151" s="288"/>
      <c r="AE151" s="288"/>
      <c r="AF151" s="288"/>
      <c r="AG151" s="288"/>
      <c r="AH151" s="288"/>
      <c r="AI151" s="288"/>
      <c r="AJ151" s="288"/>
      <c r="AK151" s="289"/>
      <c r="AL151"/>
      <c r="AM151"/>
      <c r="AN151"/>
      <c r="AO151"/>
      <c r="AP151" s="16"/>
      <c r="AQ151" s="16"/>
      <c r="AR151" s="16"/>
      <c r="AS151" s="16"/>
      <c r="AT151" s="16"/>
      <c r="AU151"/>
    </row>
    <row r="152" spans="1:47" x14ac:dyDescent="0.3">
      <c r="A152" s="9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1"/>
      <c r="AA152" s="287"/>
      <c r="AB152" s="288"/>
      <c r="AC152" s="288"/>
      <c r="AD152" s="288"/>
      <c r="AE152" s="288"/>
      <c r="AF152" s="288"/>
      <c r="AG152" s="288"/>
      <c r="AH152" s="288"/>
      <c r="AI152" s="288"/>
      <c r="AJ152" s="288"/>
      <c r="AK152" s="289"/>
      <c r="AL152"/>
      <c r="AM152"/>
      <c r="AN152"/>
      <c r="AO152"/>
      <c r="AP152" s="16"/>
      <c r="AQ152" s="16"/>
      <c r="AR152" s="16"/>
      <c r="AS152" s="16"/>
      <c r="AT152" s="16"/>
      <c r="AU152"/>
    </row>
    <row r="153" spans="1:47" x14ac:dyDescent="0.3">
      <c r="A153" s="9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1"/>
      <c r="AA153" s="287"/>
      <c r="AB153" s="288"/>
      <c r="AC153" s="288"/>
      <c r="AD153" s="288"/>
      <c r="AE153" s="288"/>
      <c r="AF153" s="288"/>
      <c r="AG153" s="288"/>
      <c r="AH153" s="288"/>
      <c r="AI153" s="288"/>
      <c r="AJ153" s="288"/>
      <c r="AK153" s="289"/>
      <c r="AL153"/>
      <c r="AM153"/>
      <c r="AN153"/>
      <c r="AO153"/>
      <c r="AP153" s="16"/>
      <c r="AQ153" s="16"/>
      <c r="AR153" s="16"/>
      <c r="AS153" s="16"/>
      <c r="AT153" s="16"/>
      <c r="AU153"/>
    </row>
    <row r="154" spans="1:47" x14ac:dyDescent="0.3">
      <c r="A154" s="9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1"/>
      <c r="AA154" s="287"/>
      <c r="AB154" s="288"/>
      <c r="AC154" s="288"/>
      <c r="AD154" s="288"/>
      <c r="AE154" s="288"/>
      <c r="AF154" s="288"/>
      <c r="AG154" s="288"/>
      <c r="AH154" s="288"/>
      <c r="AI154" s="288"/>
      <c r="AJ154" s="288"/>
      <c r="AK154" s="289"/>
      <c r="AL154"/>
      <c r="AM154"/>
      <c r="AN154"/>
      <c r="AO154"/>
      <c r="AP154" s="16"/>
      <c r="AQ154" s="16"/>
      <c r="AR154" s="16"/>
      <c r="AS154" s="16"/>
      <c r="AT154" s="16"/>
      <c r="AU154"/>
    </row>
    <row r="155" spans="1:47" x14ac:dyDescent="0.3">
      <c r="A155" s="9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1"/>
      <c r="AA155" s="287"/>
      <c r="AB155" s="288"/>
      <c r="AC155" s="288"/>
      <c r="AD155" s="288"/>
      <c r="AE155" s="288"/>
      <c r="AF155" s="288"/>
      <c r="AG155" s="288"/>
      <c r="AH155" s="288"/>
      <c r="AI155" s="288"/>
      <c r="AJ155" s="288"/>
      <c r="AK155" s="289"/>
      <c r="AL155"/>
      <c r="AM155"/>
      <c r="AN155"/>
      <c r="AO155"/>
      <c r="AP155" s="16"/>
      <c r="AQ155" s="16"/>
      <c r="AR155" s="16"/>
      <c r="AS155" s="16"/>
      <c r="AT155" s="16"/>
      <c r="AU155"/>
    </row>
    <row r="156" spans="1:47" x14ac:dyDescent="0.3">
      <c r="A156" s="9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1"/>
      <c r="AA156" s="287"/>
      <c r="AB156" s="288"/>
      <c r="AC156" s="288"/>
      <c r="AD156" s="288"/>
      <c r="AE156" s="288"/>
      <c r="AF156" s="288"/>
      <c r="AG156" s="288"/>
      <c r="AH156" s="288"/>
      <c r="AI156" s="288"/>
      <c r="AJ156" s="288"/>
      <c r="AK156" s="289"/>
      <c r="AL156"/>
      <c r="AM156"/>
      <c r="AN156"/>
      <c r="AO156"/>
      <c r="AP156" s="16"/>
      <c r="AQ156" s="16"/>
      <c r="AR156" s="16"/>
      <c r="AS156" s="16"/>
      <c r="AT156" s="16"/>
      <c r="AU156"/>
    </row>
    <row r="157" spans="1:47" x14ac:dyDescent="0.3">
      <c r="A157" s="9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1"/>
      <c r="AA157" s="287"/>
      <c r="AB157" s="288"/>
      <c r="AC157" s="288"/>
      <c r="AD157" s="288"/>
      <c r="AE157" s="288"/>
      <c r="AF157" s="288"/>
      <c r="AG157" s="288"/>
      <c r="AH157" s="288"/>
      <c r="AI157" s="288"/>
      <c r="AJ157" s="288"/>
      <c r="AK157" s="289"/>
      <c r="AL157"/>
      <c r="AM157"/>
      <c r="AN157"/>
      <c r="AO157"/>
      <c r="AP157" s="16"/>
      <c r="AQ157" s="16"/>
      <c r="AR157" s="16"/>
      <c r="AS157" s="16"/>
      <c r="AT157" s="16"/>
      <c r="AU157"/>
    </row>
    <row r="158" spans="1:47" ht="15" thickBot="1" x14ac:dyDescent="0.35">
      <c r="A158" s="12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4"/>
      <c r="AA158" s="290"/>
      <c r="AB158" s="291"/>
      <c r="AC158" s="291"/>
      <c r="AD158" s="291"/>
      <c r="AE158" s="291"/>
      <c r="AF158" s="291"/>
      <c r="AG158" s="291"/>
      <c r="AH158" s="291"/>
      <c r="AI158" s="291"/>
      <c r="AJ158" s="291"/>
      <c r="AK158" s="292"/>
      <c r="AL158"/>
      <c r="AM158"/>
      <c r="AN158"/>
      <c r="AO158"/>
      <c r="AP158" s="16"/>
      <c r="AQ158" s="16"/>
      <c r="AR158" s="16"/>
      <c r="AS158" s="16"/>
      <c r="AT158" s="16"/>
      <c r="AU158"/>
    </row>
    <row r="159" spans="1:47" ht="15" thickBot="1" x14ac:dyDescent="0.35">
      <c r="A159" s="245" t="s">
        <v>92</v>
      </c>
      <c r="B159" s="246"/>
      <c r="C159" s="246"/>
      <c r="D159" s="246"/>
      <c r="E159" s="246"/>
      <c r="F159" s="246"/>
      <c r="G159" s="246"/>
      <c r="H159" s="246"/>
      <c r="I159" s="246"/>
      <c r="J159" s="246"/>
      <c r="K159" s="246"/>
      <c r="L159" s="246"/>
      <c r="M159" s="246"/>
      <c r="N159" s="246"/>
      <c r="O159" s="246"/>
      <c r="P159" s="246"/>
      <c r="Q159" s="246"/>
      <c r="R159" s="246"/>
      <c r="S159" s="246"/>
      <c r="T159" s="246"/>
      <c r="U159" s="246"/>
      <c r="V159" s="246"/>
      <c r="W159" s="246"/>
      <c r="X159" s="246"/>
      <c r="Y159" s="246"/>
      <c r="Z159" s="247"/>
      <c r="AA159" s="245" t="s">
        <v>62</v>
      </c>
      <c r="AB159" s="246"/>
      <c r="AC159" s="246"/>
      <c r="AD159" s="246"/>
      <c r="AE159" s="246"/>
      <c r="AF159" s="246"/>
      <c r="AG159" s="246"/>
      <c r="AH159" s="246"/>
      <c r="AI159" s="246"/>
      <c r="AJ159" s="246"/>
      <c r="AK159" s="247"/>
      <c r="AL159"/>
      <c r="AM159"/>
      <c r="AN159"/>
      <c r="AO159"/>
      <c r="AP159" s="16"/>
      <c r="AQ159" s="16"/>
      <c r="AR159" s="16"/>
      <c r="AS159" s="16"/>
      <c r="AT159" s="16"/>
      <c r="AU159"/>
    </row>
    <row r="160" spans="1:47" x14ac:dyDescent="0.3">
      <c r="A160" s="6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8"/>
      <c r="AA160" s="248"/>
      <c r="AB160" s="249"/>
      <c r="AC160" s="249"/>
      <c r="AD160" s="249"/>
      <c r="AE160" s="249"/>
      <c r="AF160" s="249"/>
      <c r="AG160" s="249"/>
      <c r="AH160" s="249"/>
      <c r="AI160" s="249"/>
      <c r="AJ160" s="249"/>
      <c r="AK160" s="250"/>
      <c r="AL160"/>
      <c r="AM160"/>
      <c r="AN160"/>
      <c r="AO160"/>
      <c r="AP160" s="16"/>
      <c r="AQ160" s="16"/>
      <c r="AR160" s="16"/>
      <c r="AS160" s="16"/>
      <c r="AT160" s="16"/>
      <c r="AU160"/>
    </row>
    <row r="161" spans="1:47" x14ac:dyDescent="0.3">
      <c r="A161" s="31" t="s">
        <v>34</v>
      </c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3"/>
      <c r="T161" s="10" t="str">
        <f>+AA79</f>
        <v/>
      </c>
      <c r="U161" s="30" t="e">
        <f>+AVERAGE(T161:T166)</f>
        <v>#DIV/0!</v>
      </c>
      <c r="V161" s="30"/>
      <c r="W161" s="10"/>
      <c r="X161" s="10"/>
      <c r="Y161" s="10"/>
      <c r="Z161" s="11"/>
      <c r="AA161" s="251"/>
      <c r="AB161" s="252"/>
      <c r="AC161" s="252"/>
      <c r="AD161" s="252"/>
      <c r="AE161" s="252"/>
      <c r="AF161" s="252"/>
      <c r="AG161" s="252"/>
      <c r="AH161" s="252"/>
      <c r="AI161" s="252"/>
      <c r="AJ161" s="252"/>
      <c r="AK161" s="253"/>
      <c r="AL161"/>
      <c r="AM161"/>
      <c r="AN161"/>
      <c r="AO161"/>
      <c r="AP161" s="16"/>
      <c r="AQ161" s="16"/>
      <c r="AR161" s="16"/>
      <c r="AS161" s="16"/>
      <c r="AT161" s="16"/>
      <c r="AU161"/>
    </row>
    <row r="162" spans="1:47" x14ac:dyDescent="0.3">
      <c r="A162" s="31" t="s">
        <v>82</v>
      </c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3"/>
      <c r="T162" s="10" t="str">
        <f t="shared" ref="T162:T166" si="24">+AA80</f>
        <v/>
      </c>
      <c r="U162" s="30" t="e">
        <f>+$U$161</f>
        <v>#DIV/0!</v>
      </c>
      <c r="V162" s="30"/>
      <c r="W162" s="10"/>
      <c r="X162" s="10"/>
      <c r="Y162" s="10"/>
      <c r="Z162" s="11"/>
      <c r="AA162" s="251"/>
      <c r="AB162" s="252"/>
      <c r="AC162" s="252"/>
      <c r="AD162" s="252"/>
      <c r="AE162" s="252"/>
      <c r="AF162" s="252"/>
      <c r="AG162" s="252"/>
      <c r="AH162" s="252"/>
      <c r="AI162" s="252"/>
      <c r="AJ162" s="252"/>
      <c r="AK162" s="253"/>
      <c r="AL162"/>
      <c r="AM162"/>
      <c r="AN162"/>
      <c r="AO162"/>
      <c r="AP162" s="16"/>
      <c r="AQ162" s="16"/>
      <c r="AR162" s="16"/>
      <c r="AS162" s="16"/>
      <c r="AT162" s="16"/>
      <c r="AU162"/>
    </row>
    <row r="163" spans="1:47" x14ac:dyDescent="0.3">
      <c r="A163" s="31" t="s">
        <v>35</v>
      </c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3"/>
      <c r="T163" s="10" t="str">
        <f t="shared" si="24"/>
        <v/>
      </c>
      <c r="U163" s="30" t="e">
        <f t="shared" ref="U163:U166" si="25">+$U$161</f>
        <v>#DIV/0!</v>
      </c>
      <c r="V163" s="30"/>
      <c r="W163" s="10"/>
      <c r="X163" s="10"/>
      <c r="Y163" s="10"/>
      <c r="Z163" s="11"/>
      <c r="AA163" s="251"/>
      <c r="AB163" s="252"/>
      <c r="AC163" s="252"/>
      <c r="AD163" s="252"/>
      <c r="AE163" s="252"/>
      <c r="AF163" s="252"/>
      <c r="AG163" s="252"/>
      <c r="AH163" s="252"/>
      <c r="AI163" s="252"/>
      <c r="AJ163" s="252"/>
      <c r="AK163" s="253"/>
      <c r="AL163"/>
      <c r="AM163"/>
      <c r="AN163"/>
      <c r="AO163"/>
      <c r="AP163" s="16"/>
      <c r="AQ163" s="16"/>
      <c r="AR163" s="16"/>
      <c r="AS163" s="16"/>
      <c r="AT163" s="16"/>
      <c r="AU163"/>
    </row>
    <row r="164" spans="1:47" x14ac:dyDescent="0.3">
      <c r="A164" s="31" t="s">
        <v>36</v>
      </c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3"/>
      <c r="T164" s="10" t="str">
        <f t="shared" si="24"/>
        <v/>
      </c>
      <c r="U164" s="30" t="e">
        <f t="shared" si="25"/>
        <v>#DIV/0!</v>
      </c>
      <c r="V164" s="30"/>
      <c r="W164" s="10"/>
      <c r="X164" s="10"/>
      <c r="Y164" s="10"/>
      <c r="Z164" s="11"/>
      <c r="AA164" s="251"/>
      <c r="AB164" s="252"/>
      <c r="AC164" s="252"/>
      <c r="AD164" s="252"/>
      <c r="AE164" s="252"/>
      <c r="AF164" s="252"/>
      <c r="AG164" s="252"/>
      <c r="AH164" s="252"/>
      <c r="AI164" s="252"/>
      <c r="AJ164" s="252"/>
      <c r="AK164" s="253"/>
      <c r="AL164"/>
      <c r="AM164"/>
      <c r="AN164"/>
      <c r="AO164"/>
      <c r="AP164" s="16"/>
      <c r="AQ164" s="16"/>
      <c r="AR164" s="16"/>
      <c r="AS164" s="16"/>
      <c r="AT164" s="16"/>
      <c r="AU164"/>
    </row>
    <row r="165" spans="1:47" x14ac:dyDescent="0.3">
      <c r="A165" s="31" t="s">
        <v>83</v>
      </c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3"/>
      <c r="T165" s="10" t="str">
        <f t="shared" si="24"/>
        <v/>
      </c>
      <c r="U165" s="30" t="e">
        <f t="shared" si="25"/>
        <v>#DIV/0!</v>
      </c>
      <c r="V165" s="30"/>
      <c r="W165" s="10"/>
      <c r="X165" s="10"/>
      <c r="Y165" s="10"/>
      <c r="Z165" s="11"/>
      <c r="AA165" s="251"/>
      <c r="AB165" s="252"/>
      <c r="AC165" s="252"/>
      <c r="AD165" s="252"/>
      <c r="AE165" s="252"/>
      <c r="AF165" s="252"/>
      <c r="AG165" s="252"/>
      <c r="AH165" s="252"/>
      <c r="AI165" s="252"/>
      <c r="AJ165" s="252"/>
      <c r="AK165" s="253"/>
      <c r="AL165"/>
      <c r="AM165"/>
      <c r="AN165"/>
      <c r="AO165"/>
      <c r="AP165" s="16"/>
      <c r="AQ165" s="16"/>
      <c r="AR165" s="16"/>
      <c r="AS165" s="16"/>
      <c r="AT165" s="16"/>
      <c r="AU165"/>
    </row>
    <row r="166" spans="1:47" x14ac:dyDescent="0.3">
      <c r="A166" s="31" t="s">
        <v>84</v>
      </c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3"/>
      <c r="T166" s="10" t="str">
        <f t="shared" si="24"/>
        <v/>
      </c>
      <c r="U166" s="30" t="e">
        <f t="shared" si="25"/>
        <v>#DIV/0!</v>
      </c>
      <c r="V166" s="30"/>
      <c r="W166" s="10"/>
      <c r="X166" s="10"/>
      <c r="Y166" s="10"/>
      <c r="Z166" s="11"/>
      <c r="AA166" s="251"/>
      <c r="AB166" s="252"/>
      <c r="AC166" s="252"/>
      <c r="AD166" s="252"/>
      <c r="AE166" s="252"/>
      <c r="AF166" s="252"/>
      <c r="AG166" s="252"/>
      <c r="AH166" s="252"/>
      <c r="AI166" s="252"/>
      <c r="AJ166" s="252"/>
      <c r="AK166" s="253"/>
      <c r="AL166"/>
      <c r="AM166"/>
      <c r="AN166"/>
      <c r="AO166"/>
      <c r="AP166" s="16"/>
      <c r="AQ166" s="16"/>
      <c r="AR166" s="16"/>
      <c r="AS166" s="16"/>
      <c r="AT166" s="16"/>
      <c r="AU166"/>
    </row>
    <row r="167" spans="1:47" x14ac:dyDescent="0.3">
      <c r="A167" s="9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1"/>
      <c r="AA167" s="251"/>
      <c r="AB167" s="252"/>
      <c r="AC167" s="252"/>
      <c r="AD167" s="252"/>
      <c r="AE167" s="252"/>
      <c r="AF167" s="252"/>
      <c r="AG167" s="252"/>
      <c r="AH167" s="252"/>
      <c r="AI167" s="252"/>
      <c r="AJ167" s="252"/>
      <c r="AK167" s="253"/>
      <c r="AL167"/>
      <c r="AM167"/>
      <c r="AN167"/>
      <c r="AO167"/>
      <c r="AP167" s="16"/>
      <c r="AQ167" s="16"/>
      <c r="AR167" s="16"/>
      <c r="AS167" s="16"/>
      <c r="AT167" s="16"/>
      <c r="AU167"/>
    </row>
    <row r="168" spans="1:47" x14ac:dyDescent="0.3">
      <c r="A168" s="9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1"/>
      <c r="AA168" s="251"/>
      <c r="AB168" s="252"/>
      <c r="AC168" s="252"/>
      <c r="AD168" s="252"/>
      <c r="AE168" s="252"/>
      <c r="AF168" s="252"/>
      <c r="AG168" s="252"/>
      <c r="AH168" s="252"/>
      <c r="AI168" s="252"/>
      <c r="AJ168" s="252"/>
      <c r="AK168" s="253"/>
      <c r="AL168"/>
      <c r="AM168"/>
      <c r="AN168"/>
      <c r="AO168"/>
      <c r="AP168" s="16"/>
      <c r="AQ168" s="16"/>
      <c r="AR168" s="16"/>
      <c r="AS168" s="16"/>
      <c r="AT168" s="16"/>
      <c r="AU168"/>
    </row>
    <row r="169" spans="1:47" x14ac:dyDescent="0.3">
      <c r="A169" s="9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1"/>
      <c r="AA169" s="251"/>
      <c r="AB169" s="252"/>
      <c r="AC169" s="252"/>
      <c r="AD169" s="252"/>
      <c r="AE169" s="252"/>
      <c r="AF169" s="252"/>
      <c r="AG169" s="252"/>
      <c r="AH169" s="252"/>
      <c r="AI169" s="252"/>
      <c r="AJ169" s="252"/>
      <c r="AK169" s="253"/>
      <c r="AL169"/>
      <c r="AM169"/>
      <c r="AN169"/>
      <c r="AO169"/>
      <c r="AP169" s="16"/>
      <c r="AQ169" s="16"/>
      <c r="AR169" s="16"/>
      <c r="AS169" s="16"/>
      <c r="AT169" s="16"/>
      <c r="AU169"/>
    </row>
    <row r="170" spans="1:47" x14ac:dyDescent="0.3">
      <c r="A170" s="9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1"/>
      <c r="AA170" s="251"/>
      <c r="AB170" s="252"/>
      <c r="AC170" s="252"/>
      <c r="AD170" s="252"/>
      <c r="AE170" s="252"/>
      <c r="AF170" s="252"/>
      <c r="AG170" s="252"/>
      <c r="AH170" s="252"/>
      <c r="AI170" s="252"/>
      <c r="AJ170" s="252"/>
      <c r="AK170" s="253"/>
      <c r="AL170"/>
      <c r="AM170"/>
      <c r="AN170"/>
      <c r="AO170"/>
      <c r="AP170" s="16"/>
      <c r="AQ170" s="16"/>
      <c r="AR170" s="16"/>
      <c r="AS170" s="16"/>
      <c r="AT170" s="16"/>
      <c r="AU170"/>
    </row>
    <row r="171" spans="1:47" x14ac:dyDescent="0.3">
      <c r="A171" s="9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1"/>
      <c r="AA171" s="251"/>
      <c r="AB171" s="252"/>
      <c r="AC171" s="252"/>
      <c r="AD171" s="252"/>
      <c r="AE171" s="252"/>
      <c r="AF171" s="252"/>
      <c r="AG171" s="252"/>
      <c r="AH171" s="252"/>
      <c r="AI171" s="252"/>
      <c r="AJ171" s="252"/>
      <c r="AK171" s="253"/>
      <c r="AL171"/>
      <c r="AM171"/>
      <c r="AN171"/>
      <c r="AO171"/>
      <c r="AP171" s="16"/>
      <c r="AQ171" s="16"/>
      <c r="AR171" s="16"/>
      <c r="AS171" s="16"/>
      <c r="AT171" s="16"/>
      <c r="AU171"/>
    </row>
    <row r="172" spans="1:47" x14ac:dyDescent="0.3">
      <c r="A172" s="9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1"/>
      <c r="AA172" s="251"/>
      <c r="AB172" s="252"/>
      <c r="AC172" s="252"/>
      <c r="AD172" s="252"/>
      <c r="AE172" s="252"/>
      <c r="AF172" s="252"/>
      <c r="AG172" s="252"/>
      <c r="AH172" s="252"/>
      <c r="AI172" s="252"/>
      <c r="AJ172" s="252"/>
      <c r="AK172" s="253"/>
      <c r="AL172"/>
      <c r="AM172"/>
      <c r="AN172"/>
      <c r="AO172"/>
      <c r="AP172" s="16"/>
      <c r="AQ172" s="16"/>
      <c r="AR172" s="16"/>
      <c r="AS172" s="16"/>
      <c r="AT172" s="16"/>
      <c r="AU172"/>
    </row>
    <row r="173" spans="1:47" x14ac:dyDescent="0.3">
      <c r="A173" s="9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1"/>
      <c r="AA173" s="251"/>
      <c r="AB173" s="252"/>
      <c r="AC173" s="252"/>
      <c r="AD173" s="252"/>
      <c r="AE173" s="252"/>
      <c r="AF173" s="252"/>
      <c r="AG173" s="252"/>
      <c r="AH173" s="252"/>
      <c r="AI173" s="252"/>
      <c r="AJ173" s="252"/>
      <c r="AK173" s="253"/>
      <c r="AL173"/>
      <c r="AM173"/>
      <c r="AN173"/>
      <c r="AO173"/>
      <c r="AP173" s="16"/>
      <c r="AQ173" s="16"/>
      <c r="AR173" s="16"/>
      <c r="AS173" s="16"/>
      <c r="AT173" s="16"/>
      <c r="AU173"/>
    </row>
    <row r="174" spans="1:47" x14ac:dyDescent="0.3">
      <c r="A174" s="9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1"/>
      <c r="AA174" s="251"/>
      <c r="AB174" s="252"/>
      <c r="AC174" s="252"/>
      <c r="AD174" s="252"/>
      <c r="AE174" s="252"/>
      <c r="AF174" s="252"/>
      <c r="AG174" s="252"/>
      <c r="AH174" s="252"/>
      <c r="AI174" s="252"/>
      <c r="AJ174" s="252"/>
      <c r="AK174" s="253"/>
      <c r="AL174"/>
      <c r="AM174"/>
      <c r="AN174"/>
      <c r="AO174"/>
      <c r="AP174" s="16"/>
      <c r="AQ174" s="16"/>
      <c r="AR174" s="16"/>
      <c r="AS174" s="16"/>
      <c r="AT174" s="16"/>
      <c r="AU174"/>
    </row>
    <row r="175" spans="1:47" x14ac:dyDescent="0.3">
      <c r="A175" s="9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1"/>
      <c r="AA175" s="251"/>
      <c r="AB175" s="252"/>
      <c r="AC175" s="252"/>
      <c r="AD175" s="252"/>
      <c r="AE175" s="252"/>
      <c r="AF175" s="252"/>
      <c r="AG175" s="252"/>
      <c r="AH175" s="252"/>
      <c r="AI175" s="252"/>
      <c r="AJ175" s="252"/>
      <c r="AK175" s="253"/>
      <c r="AL175"/>
      <c r="AM175"/>
      <c r="AN175"/>
      <c r="AO175"/>
      <c r="AP175" s="16"/>
      <c r="AQ175" s="16"/>
      <c r="AR175" s="16"/>
      <c r="AS175" s="16"/>
      <c r="AT175" s="16"/>
      <c r="AU175"/>
    </row>
    <row r="176" spans="1:47" x14ac:dyDescent="0.3">
      <c r="A176" s="9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1"/>
      <c r="AA176" s="251"/>
      <c r="AB176" s="252"/>
      <c r="AC176" s="252"/>
      <c r="AD176" s="252"/>
      <c r="AE176" s="252"/>
      <c r="AF176" s="252"/>
      <c r="AG176" s="252"/>
      <c r="AH176" s="252"/>
      <c r="AI176" s="252"/>
      <c r="AJ176" s="252"/>
      <c r="AK176" s="253"/>
      <c r="AL176"/>
      <c r="AM176"/>
      <c r="AN176"/>
      <c r="AO176"/>
      <c r="AP176" s="16"/>
      <c r="AQ176" s="16"/>
      <c r="AR176" s="16"/>
      <c r="AS176" s="16"/>
      <c r="AT176" s="16"/>
      <c r="AU176"/>
    </row>
    <row r="177" spans="1:47" x14ac:dyDescent="0.3">
      <c r="A177" s="9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1"/>
      <c r="AA177" s="251"/>
      <c r="AB177" s="252"/>
      <c r="AC177" s="252"/>
      <c r="AD177" s="252"/>
      <c r="AE177" s="252"/>
      <c r="AF177" s="252"/>
      <c r="AG177" s="252"/>
      <c r="AH177" s="252"/>
      <c r="AI177" s="252"/>
      <c r="AJ177" s="252"/>
      <c r="AK177" s="253"/>
      <c r="AL177"/>
      <c r="AM177"/>
      <c r="AN177"/>
      <c r="AO177"/>
      <c r="AP177" s="16"/>
      <c r="AQ177" s="16"/>
      <c r="AR177" s="16"/>
      <c r="AS177" s="16"/>
      <c r="AT177" s="16"/>
      <c r="AU177"/>
    </row>
    <row r="178" spans="1:47" x14ac:dyDescent="0.3">
      <c r="A178" s="9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1"/>
      <c r="AA178" s="251"/>
      <c r="AB178" s="252"/>
      <c r="AC178" s="252"/>
      <c r="AD178" s="252"/>
      <c r="AE178" s="252"/>
      <c r="AF178" s="252"/>
      <c r="AG178" s="252"/>
      <c r="AH178" s="252"/>
      <c r="AI178" s="252"/>
      <c r="AJ178" s="252"/>
      <c r="AK178" s="253"/>
      <c r="AL178"/>
      <c r="AM178"/>
      <c r="AN178"/>
      <c r="AO178"/>
      <c r="AP178" s="16"/>
      <c r="AQ178" s="16"/>
      <c r="AR178" s="16"/>
      <c r="AS178" s="16"/>
      <c r="AT178" s="16"/>
      <c r="AU178"/>
    </row>
    <row r="179" spans="1:47" x14ac:dyDescent="0.3">
      <c r="A179" s="9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1"/>
      <c r="AA179" s="251"/>
      <c r="AB179" s="252"/>
      <c r="AC179" s="252"/>
      <c r="AD179" s="252"/>
      <c r="AE179" s="252"/>
      <c r="AF179" s="252"/>
      <c r="AG179" s="252"/>
      <c r="AH179" s="252"/>
      <c r="AI179" s="252"/>
      <c r="AJ179" s="252"/>
      <c r="AK179" s="253"/>
      <c r="AL179"/>
      <c r="AM179"/>
      <c r="AN179"/>
      <c r="AO179"/>
      <c r="AP179" s="16"/>
      <c r="AQ179" s="16"/>
      <c r="AR179" s="16"/>
      <c r="AS179" s="16"/>
      <c r="AT179" s="16"/>
      <c r="AU179"/>
    </row>
    <row r="180" spans="1:47" ht="15" thickBot="1" x14ac:dyDescent="0.35">
      <c r="A180" s="12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4"/>
      <c r="AA180" s="254"/>
      <c r="AB180" s="255"/>
      <c r="AC180" s="255"/>
      <c r="AD180" s="255"/>
      <c r="AE180" s="255"/>
      <c r="AF180" s="255"/>
      <c r="AG180" s="255"/>
      <c r="AH180" s="255"/>
      <c r="AI180" s="255"/>
      <c r="AJ180" s="255"/>
      <c r="AK180" s="256"/>
      <c r="AL180"/>
      <c r="AM180"/>
      <c r="AN180"/>
      <c r="AO180"/>
      <c r="AP180" s="16"/>
      <c r="AQ180" s="16"/>
      <c r="AR180" s="16"/>
      <c r="AS180" s="16"/>
      <c r="AT180" s="16"/>
      <c r="AU180"/>
    </row>
    <row r="181" spans="1:47" ht="15" thickBot="1" x14ac:dyDescent="0.35">
      <c r="A181" s="245" t="s">
        <v>93</v>
      </c>
      <c r="B181" s="246"/>
      <c r="C181" s="246"/>
      <c r="D181" s="246"/>
      <c r="E181" s="246"/>
      <c r="F181" s="246"/>
      <c r="G181" s="246"/>
      <c r="H181" s="246"/>
      <c r="I181" s="246"/>
      <c r="J181" s="246"/>
      <c r="K181" s="246"/>
      <c r="L181" s="246"/>
      <c r="M181" s="246"/>
      <c r="N181" s="246"/>
      <c r="O181" s="246"/>
      <c r="P181" s="246"/>
      <c r="Q181" s="246"/>
      <c r="R181" s="246"/>
      <c r="S181" s="246"/>
      <c r="T181" s="246"/>
      <c r="U181" s="246"/>
      <c r="V181" s="246"/>
      <c r="W181" s="246"/>
      <c r="X181" s="246"/>
      <c r="Y181" s="246"/>
      <c r="Z181" s="247"/>
      <c r="AA181" s="245" t="s">
        <v>62</v>
      </c>
      <c r="AB181" s="246"/>
      <c r="AC181" s="246"/>
      <c r="AD181" s="246"/>
      <c r="AE181" s="246"/>
      <c r="AF181" s="246"/>
      <c r="AG181" s="246"/>
      <c r="AH181" s="246"/>
      <c r="AI181" s="246"/>
      <c r="AJ181" s="246"/>
      <c r="AK181" s="247"/>
      <c r="AL181"/>
      <c r="AM181"/>
      <c r="AN181"/>
      <c r="AO181"/>
      <c r="AP181" s="16"/>
      <c r="AQ181" s="16"/>
      <c r="AR181" s="16"/>
      <c r="AS181" s="16"/>
      <c r="AT181" s="16"/>
      <c r="AU181"/>
    </row>
    <row r="182" spans="1:47" ht="15" thickBot="1" x14ac:dyDescent="0.35">
      <c r="A182" s="6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8"/>
      <c r="AA182" s="257"/>
      <c r="AB182" s="258"/>
      <c r="AC182" s="258"/>
      <c r="AD182" s="258"/>
      <c r="AE182" s="258"/>
      <c r="AF182" s="258"/>
      <c r="AG182" s="258"/>
      <c r="AH182" s="258"/>
      <c r="AI182" s="258"/>
      <c r="AJ182" s="258"/>
      <c r="AK182" s="259"/>
      <c r="AL182"/>
      <c r="AM182"/>
      <c r="AN182"/>
      <c r="AO182"/>
      <c r="AP182" s="16"/>
      <c r="AQ182" s="16"/>
      <c r="AR182" s="16"/>
      <c r="AS182" s="16"/>
      <c r="AT182" s="16"/>
      <c r="AU182"/>
    </row>
    <row r="183" spans="1:47" x14ac:dyDescent="0.3">
      <c r="A183" s="37" t="s">
        <v>48</v>
      </c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9"/>
      <c r="T183" s="10" t="str">
        <f>+AA87</f>
        <v/>
      </c>
      <c r="U183" s="30" t="e">
        <f>+AVERAGE(T183:T188)</f>
        <v>#DIV/0!</v>
      </c>
      <c r="V183" s="30"/>
      <c r="W183" s="10"/>
      <c r="X183" s="10"/>
      <c r="Y183" s="10"/>
      <c r="Z183" s="11"/>
      <c r="AA183" s="260"/>
      <c r="AB183" s="261"/>
      <c r="AC183" s="261"/>
      <c r="AD183" s="261"/>
      <c r="AE183" s="261"/>
      <c r="AF183" s="261"/>
      <c r="AG183" s="261"/>
      <c r="AH183" s="261"/>
      <c r="AI183" s="261"/>
      <c r="AJ183" s="261"/>
      <c r="AK183" s="262"/>
      <c r="AL183"/>
      <c r="AM183"/>
      <c r="AN183"/>
      <c r="AO183"/>
      <c r="AP183" s="16"/>
      <c r="AQ183" s="16"/>
      <c r="AR183" s="16"/>
      <c r="AS183" s="16"/>
      <c r="AT183" s="16"/>
      <c r="AU183"/>
    </row>
    <row r="184" spans="1:47" x14ac:dyDescent="0.3">
      <c r="A184" s="40" t="s">
        <v>51</v>
      </c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2"/>
      <c r="T184" s="10" t="str">
        <f t="shared" ref="T184:T188" si="26">+AA88</f>
        <v/>
      </c>
      <c r="U184" s="30" t="e">
        <f>+$U$183</f>
        <v>#DIV/0!</v>
      </c>
      <c r="V184" s="30"/>
      <c r="W184" s="10"/>
      <c r="X184" s="10"/>
      <c r="Y184" s="10"/>
      <c r="Z184" s="11"/>
      <c r="AA184" s="260"/>
      <c r="AB184" s="261"/>
      <c r="AC184" s="261"/>
      <c r="AD184" s="261"/>
      <c r="AE184" s="261"/>
      <c r="AF184" s="261"/>
      <c r="AG184" s="261"/>
      <c r="AH184" s="261"/>
      <c r="AI184" s="261"/>
      <c r="AJ184" s="261"/>
      <c r="AK184" s="262"/>
      <c r="AL184"/>
      <c r="AM184"/>
      <c r="AN184"/>
      <c r="AO184"/>
      <c r="AP184" s="16"/>
      <c r="AQ184" s="16"/>
      <c r="AR184" s="16"/>
      <c r="AS184" s="16"/>
      <c r="AT184" s="16"/>
      <c r="AU184"/>
    </row>
    <row r="185" spans="1:47" x14ac:dyDescent="0.3">
      <c r="A185" s="31" t="s">
        <v>85</v>
      </c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3"/>
      <c r="T185" s="10" t="str">
        <f t="shared" si="26"/>
        <v/>
      </c>
      <c r="U185" s="30" t="e">
        <f t="shared" ref="U185:U188" si="27">+$U$183</f>
        <v>#DIV/0!</v>
      </c>
      <c r="V185" s="30"/>
      <c r="W185" s="10"/>
      <c r="X185" s="10"/>
      <c r="Y185" s="10"/>
      <c r="Z185" s="11"/>
      <c r="AA185" s="260"/>
      <c r="AB185" s="261"/>
      <c r="AC185" s="261"/>
      <c r="AD185" s="261"/>
      <c r="AE185" s="261"/>
      <c r="AF185" s="261"/>
      <c r="AG185" s="261"/>
      <c r="AH185" s="261"/>
      <c r="AI185" s="261"/>
      <c r="AJ185" s="261"/>
      <c r="AK185" s="262"/>
      <c r="AL185"/>
      <c r="AM185"/>
      <c r="AN185"/>
      <c r="AO185"/>
      <c r="AP185" s="16"/>
      <c r="AQ185" s="16"/>
      <c r="AR185" s="16"/>
      <c r="AS185" s="16"/>
      <c r="AT185" s="16"/>
      <c r="AU185"/>
    </row>
    <row r="186" spans="1:47" x14ac:dyDescent="0.3">
      <c r="A186" s="31" t="s">
        <v>86</v>
      </c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3"/>
      <c r="T186" s="10" t="str">
        <f t="shared" si="26"/>
        <v/>
      </c>
      <c r="U186" s="30" t="e">
        <f t="shared" si="27"/>
        <v>#DIV/0!</v>
      </c>
      <c r="V186" s="30"/>
      <c r="W186" s="10"/>
      <c r="X186" s="10"/>
      <c r="Y186" s="10"/>
      <c r="Z186" s="11"/>
      <c r="AA186" s="260"/>
      <c r="AB186" s="261"/>
      <c r="AC186" s="261"/>
      <c r="AD186" s="261"/>
      <c r="AE186" s="261"/>
      <c r="AF186" s="261"/>
      <c r="AG186" s="261"/>
      <c r="AH186" s="261"/>
      <c r="AI186" s="261"/>
      <c r="AJ186" s="261"/>
      <c r="AK186" s="262"/>
      <c r="AL186"/>
      <c r="AM186"/>
      <c r="AN186"/>
      <c r="AO186"/>
      <c r="AP186" s="16"/>
      <c r="AQ186" s="16"/>
      <c r="AR186" s="16"/>
      <c r="AS186" s="16"/>
      <c r="AT186" s="16"/>
      <c r="AU186"/>
    </row>
    <row r="187" spans="1:47" x14ac:dyDescent="0.3">
      <c r="A187" s="31" t="s">
        <v>49</v>
      </c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3"/>
      <c r="T187" s="10" t="str">
        <f t="shared" si="26"/>
        <v/>
      </c>
      <c r="U187" s="30" t="e">
        <f t="shared" si="27"/>
        <v>#DIV/0!</v>
      </c>
      <c r="V187" s="30"/>
      <c r="W187" s="10"/>
      <c r="X187" s="10"/>
      <c r="Y187" s="10"/>
      <c r="Z187" s="11"/>
      <c r="AA187" s="260"/>
      <c r="AB187" s="261"/>
      <c r="AC187" s="261"/>
      <c r="AD187" s="261"/>
      <c r="AE187" s="261"/>
      <c r="AF187" s="261"/>
      <c r="AG187" s="261"/>
      <c r="AH187" s="261"/>
      <c r="AI187" s="261"/>
      <c r="AJ187" s="261"/>
      <c r="AK187" s="262"/>
      <c r="AL187"/>
      <c r="AM187"/>
      <c r="AN187"/>
      <c r="AO187"/>
      <c r="AP187" s="16"/>
      <c r="AQ187" s="16"/>
      <c r="AR187" s="16"/>
      <c r="AS187" s="16"/>
      <c r="AT187" s="16"/>
      <c r="AU187"/>
    </row>
    <row r="188" spans="1:47" ht="15" thickBot="1" x14ac:dyDescent="0.35">
      <c r="A188" s="34" t="s">
        <v>50</v>
      </c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6"/>
      <c r="T188" s="10" t="str">
        <f t="shared" si="26"/>
        <v/>
      </c>
      <c r="U188" s="30" t="e">
        <f t="shared" si="27"/>
        <v>#DIV/0!</v>
      </c>
      <c r="V188" s="30"/>
      <c r="W188" s="10"/>
      <c r="X188" s="10"/>
      <c r="Y188" s="10"/>
      <c r="Z188" s="11"/>
      <c r="AA188" s="260"/>
      <c r="AB188" s="261"/>
      <c r="AC188" s="261"/>
      <c r="AD188" s="261"/>
      <c r="AE188" s="261"/>
      <c r="AF188" s="261"/>
      <c r="AG188" s="261"/>
      <c r="AH188" s="261"/>
      <c r="AI188" s="261"/>
      <c r="AJ188" s="261"/>
      <c r="AK188" s="262"/>
      <c r="AL188"/>
      <c r="AM188"/>
      <c r="AN188"/>
      <c r="AO188"/>
      <c r="AP188" s="16"/>
      <c r="AQ188" s="16"/>
      <c r="AR188" s="16"/>
      <c r="AS188" s="16"/>
      <c r="AT188" s="16"/>
      <c r="AU188"/>
    </row>
    <row r="189" spans="1:47" x14ac:dyDescent="0.3">
      <c r="A189" s="9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1"/>
      <c r="AA189" s="260"/>
      <c r="AB189" s="261"/>
      <c r="AC189" s="261"/>
      <c r="AD189" s="261"/>
      <c r="AE189" s="261"/>
      <c r="AF189" s="261"/>
      <c r="AG189" s="261"/>
      <c r="AH189" s="261"/>
      <c r="AI189" s="261"/>
      <c r="AJ189" s="261"/>
      <c r="AK189" s="262"/>
      <c r="AL189"/>
      <c r="AM189"/>
      <c r="AN189"/>
      <c r="AO189"/>
      <c r="AP189" s="16"/>
      <c r="AQ189" s="16"/>
      <c r="AR189" s="16"/>
      <c r="AS189" s="16"/>
      <c r="AT189" s="16"/>
      <c r="AU189"/>
    </row>
    <row r="190" spans="1:47" x14ac:dyDescent="0.3">
      <c r="A190" s="9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1"/>
      <c r="AA190" s="260"/>
      <c r="AB190" s="261"/>
      <c r="AC190" s="261"/>
      <c r="AD190" s="261"/>
      <c r="AE190" s="261"/>
      <c r="AF190" s="261"/>
      <c r="AG190" s="261"/>
      <c r="AH190" s="261"/>
      <c r="AI190" s="261"/>
      <c r="AJ190" s="261"/>
      <c r="AK190" s="262"/>
      <c r="AL190"/>
      <c r="AM190"/>
      <c r="AN190"/>
      <c r="AO190"/>
      <c r="AP190" s="16"/>
      <c r="AQ190" s="16"/>
      <c r="AR190" s="16"/>
      <c r="AS190" s="16"/>
      <c r="AT190" s="16"/>
      <c r="AU190"/>
    </row>
    <row r="191" spans="1:47" x14ac:dyDescent="0.3">
      <c r="A191" s="9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1"/>
      <c r="AA191" s="260"/>
      <c r="AB191" s="261"/>
      <c r="AC191" s="261"/>
      <c r="AD191" s="261"/>
      <c r="AE191" s="261"/>
      <c r="AF191" s="261"/>
      <c r="AG191" s="261"/>
      <c r="AH191" s="261"/>
      <c r="AI191" s="261"/>
      <c r="AJ191" s="261"/>
      <c r="AK191" s="262"/>
      <c r="AL191"/>
      <c r="AM191"/>
      <c r="AN191"/>
      <c r="AO191"/>
      <c r="AP191" s="16"/>
      <c r="AQ191" s="16"/>
      <c r="AR191" s="16"/>
      <c r="AS191" s="16"/>
      <c r="AT191" s="16"/>
      <c r="AU191"/>
    </row>
    <row r="192" spans="1:47" x14ac:dyDescent="0.3">
      <c r="A192" s="9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1"/>
      <c r="AA192" s="260"/>
      <c r="AB192" s="261"/>
      <c r="AC192" s="261"/>
      <c r="AD192" s="261"/>
      <c r="AE192" s="261"/>
      <c r="AF192" s="261"/>
      <c r="AG192" s="261"/>
      <c r="AH192" s="261"/>
      <c r="AI192" s="261"/>
      <c r="AJ192" s="261"/>
      <c r="AK192" s="262"/>
      <c r="AL192"/>
      <c r="AM192"/>
      <c r="AN192"/>
      <c r="AO192"/>
      <c r="AP192" s="16"/>
      <c r="AQ192" s="16"/>
      <c r="AR192" s="16"/>
      <c r="AS192" s="16"/>
      <c r="AT192" s="16"/>
      <c r="AU192"/>
    </row>
    <row r="193" spans="1:47" x14ac:dyDescent="0.3">
      <c r="A193" s="9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1"/>
      <c r="AA193" s="260"/>
      <c r="AB193" s="261"/>
      <c r="AC193" s="261"/>
      <c r="AD193" s="261"/>
      <c r="AE193" s="261"/>
      <c r="AF193" s="261"/>
      <c r="AG193" s="261"/>
      <c r="AH193" s="261"/>
      <c r="AI193" s="261"/>
      <c r="AJ193" s="261"/>
      <c r="AK193" s="262"/>
      <c r="AL193"/>
      <c r="AM193"/>
      <c r="AN193"/>
      <c r="AO193"/>
      <c r="AP193" s="16"/>
      <c r="AQ193" s="16"/>
      <c r="AR193" s="16"/>
      <c r="AS193" s="16"/>
      <c r="AT193" s="16"/>
      <c r="AU193"/>
    </row>
    <row r="194" spans="1:47" x14ac:dyDescent="0.3">
      <c r="A194" s="9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1"/>
      <c r="AA194" s="260"/>
      <c r="AB194" s="261"/>
      <c r="AC194" s="261"/>
      <c r="AD194" s="261"/>
      <c r="AE194" s="261"/>
      <c r="AF194" s="261"/>
      <c r="AG194" s="261"/>
      <c r="AH194" s="261"/>
      <c r="AI194" s="261"/>
      <c r="AJ194" s="261"/>
      <c r="AK194" s="262"/>
      <c r="AL194"/>
      <c r="AM194"/>
      <c r="AN194"/>
      <c r="AO194"/>
      <c r="AP194" s="16"/>
      <c r="AQ194" s="16"/>
      <c r="AR194" s="16"/>
      <c r="AS194" s="16"/>
      <c r="AT194" s="16"/>
      <c r="AU194"/>
    </row>
    <row r="195" spans="1:47" x14ac:dyDescent="0.3">
      <c r="A195" s="9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1"/>
      <c r="AA195" s="260"/>
      <c r="AB195" s="261"/>
      <c r="AC195" s="261"/>
      <c r="AD195" s="261"/>
      <c r="AE195" s="261"/>
      <c r="AF195" s="261"/>
      <c r="AG195" s="261"/>
      <c r="AH195" s="261"/>
      <c r="AI195" s="261"/>
      <c r="AJ195" s="261"/>
      <c r="AK195" s="262"/>
      <c r="AL195"/>
      <c r="AM195"/>
      <c r="AN195"/>
      <c r="AO195"/>
      <c r="AP195" s="16"/>
      <c r="AQ195" s="16"/>
      <c r="AR195" s="16"/>
      <c r="AS195" s="16"/>
      <c r="AT195" s="16"/>
      <c r="AU195"/>
    </row>
    <row r="196" spans="1:47" x14ac:dyDescent="0.3">
      <c r="A196" s="9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1"/>
      <c r="AA196" s="260"/>
      <c r="AB196" s="261"/>
      <c r="AC196" s="261"/>
      <c r="AD196" s="261"/>
      <c r="AE196" s="261"/>
      <c r="AF196" s="261"/>
      <c r="AG196" s="261"/>
      <c r="AH196" s="261"/>
      <c r="AI196" s="261"/>
      <c r="AJ196" s="261"/>
      <c r="AK196" s="262"/>
      <c r="AL196"/>
      <c r="AM196"/>
      <c r="AN196"/>
      <c r="AO196"/>
      <c r="AP196" s="16"/>
      <c r="AQ196" s="16"/>
      <c r="AR196" s="16"/>
      <c r="AS196" s="16"/>
      <c r="AT196" s="16"/>
      <c r="AU196"/>
    </row>
    <row r="197" spans="1:47" x14ac:dyDescent="0.3">
      <c r="A197" s="9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1"/>
      <c r="AA197" s="260"/>
      <c r="AB197" s="261"/>
      <c r="AC197" s="261"/>
      <c r="AD197" s="261"/>
      <c r="AE197" s="261"/>
      <c r="AF197" s="261"/>
      <c r="AG197" s="261"/>
      <c r="AH197" s="261"/>
      <c r="AI197" s="261"/>
      <c r="AJ197" s="261"/>
      <c r="AK197" s="262"/>
      <c r="AL197"/>
      <c r="AM197"/>
      <c r="AN197"/>
      <c r="AO197"/>
      <c r="AP197" s="16"/>
      <c r="AQ197" s="16"/>
      <c r="AR197" s="16"/>
      <c r="AS197" s="16"/>
      <c r="AT197" s="16"/>
      <c r="AU197"/>
    </row>
    <row r="198" spans="1:47" x14ac:dyDescent="0.3">
      <c r="A198" s="9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1"/>
      <c r="AA198" s="260"/>
      <c r="AB198" s="261"/>
      <c r="AC198" s="261"/>
      <c r="AD198" s="261"/>
      <c r="AE198" s="261"/>
      <c r="AF198" s="261"/>
      <c r="AG198" s="261"/>
      <c r="AH198" s="261"/>
      <c r="AI198" s="261"/>
      <c r="AJ198" s="261"/>
      <c r="AK198" s="262"/>
      <c r="AL198"/>
      <c r="AM198"/>
      <c r="AN198"/>
      <c r="AO198"/>
      <c r="AP198" s="16"/>
      <c r="AQ198" s="16"/>
      <c r="AR198" s="16"/>
      <c r="AS198" s="16"/>
      <c r="AT198" s="16"/>
      <c r="AU198"/>
    </row>
    <row r="199" spans="1:47" x14ac:dyDescent="0.3">
      <c r="A199" s="9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1"/>
      <c r="AA199" s="260"/>
      <c r="AB199" s="261"/>
      <c r="AC199" s="261"/>
      <c r="AD199" s="261"/>
      <c r="AE199" s="261"/>
      <c r="AF199" s="261"/>
      <c r="AG199" s="261"/>
      <c r="AH199" s="261"/>
      <c r="AI199" s="261"/>
      <c r="AJ199" s="261"/>
      <c r="AK199" s="262"/>
      <c r="AL199"/>
      <c r="AM199"/>
      <c r="AN199"/>
      <c r="AO199"/>
      <c r="AP199" s="16"/>
      <c r="AQ199" s="16"/>
      <c r="AR199" s="16"/>
      <c r="AS199" s="16"/>
      <c r="AT199" s="16"/>
      <c r="AU199"/>
    </row>
    <row r="200" spans="1:47" x14ac:dyDescent="0.3">
      <c r="A200" s="9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1"/>
      <c r="AA200" s="260"/>
      <c r="AB200" s="261"/>
      <c r="AC200" s="261"/>
      <c r="AD200" s="261"/>
      <c r="AE200" s="261"/>
      <c r="AF200" s="261"/>
      <c r="AG200" s="261"/>
      <c r="AH200" s="261"/>
      <c r="AI200" s="261"/>
      <c r="AJ200" s="261"/>
      <c r="AK200" s="262"/>
      <c r="AL200"/>
      <c r="AM200"/>
      <c r="AN200"/>
      <c r="AO200"/>
      <c r="AP200" s="16"/>
      <c r="AQ200" s="16"/>
      <c r="AR200" s="16"/>
      <c r="AS200" s="16"/>
      <c r="AT200" s="16"/>
      <c r="AU200"/>
    </row>
    <row r="201" spans="1:47" x14ac:dyDescent="0.3">
      <c r="A201" s="9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1"/>
      <c r="AA201" s="260"/>
      <c r="AB201" s="261"/>
      <c r="AC201" s="261"/>
      <c r="AD201" s="261"/>
      <c r="AE201" s="261"/>
      <c r="AF201" s="261"/>
      <c r="AG201" s="261"/>
      <c r="AH201" s="261"/>
      <c r="AI201" s="261"/>
      <c r="AJ201" s="261"/>
      <c r="AK201" s="262"/>
      <c r="AL201"/>
      <c r="AM201"/>
      <c r="AN201"/>
      <c r="AO201"/>
      <c r="AP201" s="16"/>
      <c r="AQ201" s="16"/>
      <c r="AR201" s="16"/>
      <c r="AS201" s="16"/>
      <c r="AT201" s="16"/>
      <c r="AU201"/>
    </row>
    <row r="202" spans="1:47" ht="15" thickBot="1" x14ac:dyDescent="0.35">
      <c r="A202" s="12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4"/>
      <c r="AA202" s="263"/>
      <c r="AB202" s="264"/>
      <c r="AC202" s="264"/>
      <c r="AD202" s="264"/>
      <c r="AE202" s="264"/>
      <c r="AF202" s="264"/>
      <c r="AG202" s="264"/>
      <c r="AH202" s="264"/>
      <c r="AI202" s="264"/>
      <c r="AJ202" s="264"/>
      <c r="AK202" s="265"/>
      <c r="AL202"/>
      <c r="AM202"/>
      <c r="AN202"/>
      <c r="AO202"/>
      <c r="AP202" s="16"/>
      <c r="AQ202" s="16"/>
      <c r="AR202" s="16"/>
      <c r="AS202" s="16"/>
      <c r="AT202" s="16"/>
      <c r="AU202"/>
    </row>
    <row r="203" spans="1:47" ht="15" thickBot="1" x14ac:dyDescent="0.35">
      <c r="A203" s="245" t="s">
        <v>94</v>
      </c>
      <c r="B203" s="246"/>
      <c r="C203" s="246"/>
      <c r="D203" s="246"/>
      <c r="E203" s="246"/>
      <c r="F203" s="246"/>
      <c r="G203" s="246"/>
      <c r="H203" s="246"/>
      <c r="I203" s="246"/>
      <c r="J203" s="246"/>
      <c r="K203" s="246"/>
      <c r="L203" s="246"/>
      <c r="M203" s="246"/>
      <c r="N203" s="246"/>
      <c r="O203" s="246"/>
      <c r="P203" s="246"/>
      <c r="Q203" s="246"/>
      <c r="R203" s="246"/>
      <c r="S203" s="246"/>
      <c r="T203" s="246"/>
      <c r="U203" s="246"/>
      <c r="V203" s="246"/>
      <c r="W203" s="246"/>
      <c r="X203" s="246"/>
      <c r="Y203" s="246"/>
      <c r="Z203" s="247"/>
      <c r="AA203" s="245" t="s">
        <v>62</v>
      </c>
      <c r="AB203" s="246"/>
      <c r="AC203" s="246"/>
      <c r="AD203" s="246"/>
      <c r="AE203" s="246"/>
      <c r="AF203" s="246"/>
      <c r="AG203" s="246"/>
      <c r="AH203" s="246"/>
      <c r="AI203" s="246"/>
      <c r="AJ203" s="246"/>
      <c r="AK203" s="247"/>
      <c r="AL203"/>
      <c r="AM203"/>
      <c r="AN203"/>
      <c r="AO203"/>
      <c r="AP203" s="16"/>
      <c r="AQ203" s="16"/>
      <c r="AR203" s="16"/>
      <c r="AS203" s="16"/>
      <c r="AT203" s="16"/>
      <c r="AU203"/>
    </row>
    <row r="204" spans="1:47" x14ac:dyDescent="0.3">
      <c r="A204" s="6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8"/>
      <c r="AA204" s="236"/>
      <c r="AB204" s="237"/>
      <c r="AC204" s="237"/>
      <c r="AD204" s="237"/>
      <c r="AE204" s="237"/>
      <c r="AF204" s="237"/>
      <c r="AG204" s="237"/>
      <c r="AH204" s="237"/>
      <c r="AI204" s="237"/>
      <c r="AJ204" s="237"/>
      <c r="AK204" s="238"/>
      <c r="AL204"/>
      <c r="AM204"/>
      <c r="AN204"/>
      <c r="AO204"/>
      <c r="AP204" s="16"/>
      <c r="AQ204" s="16"/>
      <c r="AR204" s="16"/>
      <c r="AS204" s="16"/>
      <c r="AT204" s="16"/>
      <c r="AU204"/>
    </row>
    <row r="205" spans="1:47" x14ac:dyDescent="0.3">
      <c r="A205" s="28" t="s">
        <v>95</v>
      </c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7" t="e">
        <f>(AA52/O205)</f>
        <v>#VALUE!</v>
      </c>
      <c r="O205" s="10">
        <v>30</v>
      </c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1"/>
      <c r="AA205" s="239"/>
      <c r="AB205" s="240"/>
      <c r="AC205" s="240"/>
      <c r="AD205" s="240"/>
      <c r="AE205" s="240"/>
      <c r="AF205" s="240"/>
      <c r="AG205" s="240"/>
      <c r="AH205" s="240"/>
      <c r="AI205" s="240"/>
      <c r="AJ205" s="240"/>
      <c r="AK205" s="241"/>
      <c r="AL205"/>
      <c r="AM205"/>
      <c r="AN205"/>
      <c r="AO205"/>
      <c r="AP205" s="16"/>
      <c r="AQ205" s="16"/>
      <c r="AR205" s="16"/>
      <c r="AS205" s="16"/>
      <c r="AT205" s="16"/>
      <c r="AU205"/>
    </row>
    <row r="206" spans="1:47" x14ac:dyDescent="0.3">
      <c r="A206" s="44" t="s">
        <v>96</v>
      </c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27" t="e">
        <f>(AA66/O206)</f>
        <v>#VALUE!</v>
      </c>
      <c r="O206" s="10">
        <v>54</v>
      </c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1"/>
      <c r="AA206" s="239"/>
      <c r="AB206" s="240"/>
      <c r="AC206" s="240"/>
      <c r="AD206" s="240"/>
      <c r="AE206" s="240"/>
      <c r="AF206" s="240"/>
      <c r="AG206" s="240"/>
      <c r="AH206" s="240"/>
      <c r="AI206" s="240"/>
      <c r="AJ206" s="240"/>
      <c r="AK206" s="241"/>
      <c r="AL206"/>
      <c r="AM206"/>
      <c r="AN206"/>
      <c r="AO206"/>
      <c r="AP206" s="16"/>
      <c r="AQ206" s="16"/>
      <c r="AR206" s="16"/>
      <c r="AS206" s="16"/>
      <c r="AT206" s="16"/>
      <c r="AU206"/>
    </row>
    <row r="207" spans="1:47" x14ac:dyDescent="0.3">
      <c r="A207" s="44" t="s">
        <v>97</v>
      </c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27" t="e">
        <f>(AA77/O207)</f>
        <v>#VALUE!</v>
      </c>
      <c r="O207" s="10">
        <v>44</v>
      </c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1"/>
      <c r="AA207" s="239"/>
      <c r="AB207" s="240"/>
      <c r="AC207" s="240"/>
      <c r="AD207" s="240"/>
      <c r="AE207" s="240"/>
      <c r="AF207" s="240"/>
      <c r="AG207" s="240"/>
      <c r="AH207" s="240"/>
      <c r="AI207" s="240"/>
      <c r="AJ207" s="240"/>
      <c r="AK207" s="241"/>
      <c r="AL207"/>
      <c r="AM207"/>
      <c r="AN207"/>
      <c r="AO207"/>
      <c r="AP207" s="16"/>
      <c r="AQ207" s="16"/>
      <c r="AR207" s="16"/>
      <c r="AS207" s="16"/>
      <c r="AT207" s="16"/>
      <c r="AU207"/>
    </row>
    <row r="208" spans="1:47" x14ac:dyDescent="0.3">
      <c r="A208" s="44" t="s">
        <v>98</v>
      </c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27" t="e">
        <f>(AA85/O208)</f>
        <v>#VALUE!</v>
      </c>
      <c r="O208" s="10">
        <v>34</v>
      </c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1"/>
      <c r="AA208" s="239"/>
      <c r="AB208" s="240"/>
      <c r="AC208" s="240"/>
      <c r="AD208" s="240"/>
      <c r="AE208" s="240"/>
      <c r="AF208" s="240"/>
      <c r="AG208" s="240"/>
      <c r="AH208" s="240"/>
      <c r="AI208" s="240"/>
      <c r="AJ208" s="240"/>
      <c r="AK208" s="241"/>
      <c r="AL208"/>
      <c r="AM208"/>
      <c r="AN208"/>
      <c r="AO208"/>
      <c r="AP208" s="16"/>
      <c r="AQ208" s="16"/>
      <c r="AR208" s="16"/>
      <c r="AS208" s="16"/>
      <c r="AT208" s="16"/>
      <c r="AU208"/>
    </row>
    <row r="209" spans="1:47" x14ac:dyDescent="0.3">
      <c r="A209" s="28" t="s">
        <v>99</v>
      </c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7" t="e">
        <f>(AA93/O209)</f>
        <v>#VALUE!</v>
      </c>
      <c r="O209" s="10">
        <v>28</v>
      </c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1"/>
      <c r="AA209" s="239"/>
      <c r="AB209" s="240"/>
      <c r="AC209" s="240"/>
      <c r="AD209" s="240"/>
      <c r="AE209" s="240"/>
      <c r="AF209" s="240"/>
      <c r="AG209" s="240"/>
      <c r="AH209" s="240"/>
      <c r="AI209" s="240"/>
      <c r="AJ209" s="240"/>
      <c r="AK209" s="241"/>
      <c r="AL209"/>
      <c r="AM209"/>
      <c r="AN209"/>
      <c r="AO209"/>
      <c r="AP209" s="16"/>
      <c r="AQ209" s="16"/>
      <c r="AR209" s="16"/>
      <c r="AS209" s="16"/>
      <c r="AT209" s="16"/>
      <c r="AU209"/>
    </row>
    <row r="210" spans="1:47" x14ac:dyDescent="0.3">
      <c r="A210" s="9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1"/>
      <c r="AA210" s="239"/>
      <c r="AB210" s="240"/>
      <c r="AC210" s="240"/>
      <c r="AD210" s="240"/>
      <c r="AE210" s="240"/>
      <c r="AF210" s="240"/>
      <c r="AG210" s="240"/>
      <c r="AH210" s="240"/>
      <c r="AI210" s="240"/>
      <c r="AJ210" s="240"/>
      <c r="AK210" s="241"/>
      <c r="AL210"/>
      <c r="AM210"/>
      <c r="AN210"/>
      <c r="AO210"/>
      <c r="AP210" s="16"/>
      <c r="AQ210" s="16"/>
      <c r="AR210" s="16"/>
      <c r="AS210" s="16"/>
      <c r="AT210" s="16"/>
      <c r="AU210"/>
    </row>
    <row r="211" spans="1:47" x14ac:dyDescent="0.3">
      <c r="A211" s="9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1"/>
      <c r="AA211" s="239"/>
      <c r="AB211" s="240"/>
      <c r="AC211" s="240"/>
      <c r="AD211" s="240"/>
      <c r="AE211" s="240"/>
      <c r="AF211" s="240"/>
      <c r="AG211" s="240"/>
      <c r="AH211" s="240"/>
      <c r="AI211" s="240"/>
      <c r="AJ211" s="240"/>
      <c r="AK211" s="241"/>
      <c r="AL211"/>
      <c r="AM211"/>
      <c r="AN211"/>
      <c r="AO211"/>
      <c r="AP211" s="16"/>
      <c r="AQ211" s="16"/>
      <c r="AR211" s="16"/>
      <c r="AS211" s="16"/>
      <c r="AT211" s="16"/>
      <c r="AU211"/>
    </row>
    <row r="212" spans="1:47" x14ac:dyDescent="0.3">
      <c r="A212" s="9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1"/>
      <c r="AA212" s="239"/>
      <c r="AB212" s="240"/>
      <c r="AC212" s="240"/>
      <c r="AD212" s="240"/>
      <c r="AE212" s="240"/>
      <c r="AF212" s="240"/>
      <c r="AG212" s="240"/>
      <c r="AH212" s="240"/>
      <c r="AI212" s="240"/>
      <c r="AJ212" s="240"/>
      <c r="AK212" s="241"/>
      <c r="AL212"/>
      <c r="AM212"/>
      <c r="AN212"/>
      <c r="AO212"/>
      <c r="AP212" s="16"/>
      <c r="AQ212" s="16"/>
      <c r="AR212" s="16"/>
      <c r="AS212" s="16"/>
      <c r="AT212" s="16"/>
      <c r="AU212"/>
    </row>
    <row r="213" spans="1:47" x14ac:dyDescent="0.3">
      <c r="A213" s="9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1"/>
      <c r="AA213" s="239"/>
      <c r="AB213" s="240"/>
      <c r="AC213" s="240"/>
      <c r="AD213" s="240"/>
      <c r="AE213" s="240"/>
      <c r="AF213" s="240"/>
      <c r="AG213" s="240"/>
      <c r="AH213" s="240"/>
      <c r="AI213" s="240"/>
      <c r="AJ213" s="240"/>
      <c r="AK213" s="241"/>
      <c r="AL213"/>
      <c r="AM213"/>
      <c r="AN213"/>
      <c r="AO213"/>
      <c r="AP213" s="16"/>
      <c r="AQ213" s="16"/>
      <c r="AR213" s="16"/>
      <c r="AS213" s="16"/>
      <c r="AT213" s="16"/>
      <c r="AU213"/>
    </row>
    <row r="214" spans="1:47" x14ac:dyDescent="0.3">
      <c r="A214" s="9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1"/>
      <c r="AA214" s="239"/>
      <c r="AB214" s="240"/>
      <c r="AC214" s="240"/>
      <c r="AD214" s="240"/>
      <c r="AE214" s="240"/>
      <c r="AF214" s="240"/>
      <c r="AG214" s="240"/>
      <c r="AH214" s="240"/>
      <c r="AI214" s="240"/>
      <c r="AJ214" s="240"/>
      <c r="AK214" s="241"/>
      <c r="AL214"/>
      <c r="AM214"/>
      <c r="AN214"/>
      <c r="AO214"/>
      <c r="AP214" s="16"/>
      <c r="AQ214" s="16"/>
      <c r="AR214" s="16"/>
      <c r="AS214" s="16"/>
      <c r="AT214" s="16"/>
      <c r="AU214"/>
    </row>
    <row r="215" spans="1:47" x14ac:dyDescent="0.3">
      <c r="A215" s="9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1"/>
      <c r="AA215" s="239"/>
      <c r="AB215" s="240"/>
      <c r="AC215" s="240"/>
      <c r="AD215" s="240"/>
      <c r="AE215" s="240"/>
      <c r="AF215" s="240"/>
      <c r="AG215" s="240"/>
      <c r="AH215" s="240"/>
      <c r="AI215" s="240"/>
      <c r="AJ215" s="240"/>
      <c r="AK215" s="241"/>
      <c r="AL215"/>
      <c r="AM215"/>
      <c r="AN215"/>
      <c r="AO215"/>
      <c r="AP215" s="16"/>
      <c r="AQ215" s="16"/>
      <c r="AR215" s="16"/>
      <c r="AS215" s="16"/>
      <c r="AT215" s="16"/>
      <c r="AU215"/>
    </row>
    <row r="216" spans="1:47" x14ac:dyDescent="0.3">
      <c r="A216" s="9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1"/>
      <c r="AA216" s="239"/>
      <c r="AB216" s="240"/>
      <c r="AC216" s="240"/>
      <c r="AD216" s="240"/>
      <c r="AE216" s="240"/>
      <c r="AF216" s="240"/>
      <c r="AG216" s="240"/>
      <c r="AH216" s="240"/>
      <c r="AI216" s="240"/>
      <c r="AJ216" s="240"/>
      <c r="AK216" s="241"/>
      <c r="AL216"/>
      <c r="AM216"/>
      <c r="AN216"/>
      <c r="AO216"/>
      <c r="AP216" s="16"/>
      <c r="AQ216" s="16"/>
      <c r="AR216" s="16"/>
      <c r="AS216" s="16"/>
      <c r="AT216" s="16"/>
      <c r="AU216"/>
    </row>
    <row r="217" spans="1:47" x14ac:dyDescent="0.3">
      <c r="A217" s="9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1"/>
      <c r="AA217" s="239"/>
      <c r="AB217" s="240"/>
      <c r="AC217" s="240"/>
      <c r="AD217" s="240"/>
      <c r="AE217" s="240"/>
      <c r="AF217" s="240"/>
      <c r="AG217" s="240"/>
      <c r="AH217" s="240"/>
      <c r="AI217" s="240"/>
      <c r="AJ217" s="240"/>
      <c r="AK217" s="241"/>
      <c r="AL217"/>
      <c r="AM217"/>
      <c r="AN217"/>
      <c r="AO217"/>
      <c r="AP217" s="16"/>
      <c r="AQ217" s="16"/>
      <c r="AR217" s="16"/>
      <c r="AS217" s="16"/>
      <c r="AT217" s="16"/>
      <c r="AU217"/>
    </row>
    <row r="218" spans="1:47" x14ac:dyDescent="0.3">
      <c r="A218" s="9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1"/>
      <c r="AA218" s="239"/>
      <c r="AB218" s="240"/>
      <c r="AC218" s="240"/>
      <c r="AD218" s="240"/>
      <c r="AE218" s="240"/>
      <c r="AF218" s="240"/>
      <c r="AG218" s="240"/>
      <c r="AH218" s="240"/>
      <c r="AI218" s="240"/>
      <c r="AJ218" s="240"/>
      <c r="AK218" s="241"/>
      <c r="AL218"/>
      <c r="AM218"/>
      <c r="AN218"/>
      <c r="AO218"/>
      <c r="AP218" s="16"/>
      <c r="AQ218" s="16"/>
      <c r="AR218" s="16"/>
      <c r="AS218" s="16"/>
      <c r="AT218" s="16"/>
      <c r="AU218"/>
    </row>
    <row r="219" spans="1:47" ht="15" thickBot="1" x14ac:dyDescent="0.35">
      <c r="A219" s="12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4"/>
      <c r="AA219" s="242"/>
      <c r="AB219" s="243"/>
      <c r="AC219" s="243"/>
      <c r="AD219" s="243"/>
      <c r="AE219" s="243"/>
      <c r="AF219" s="243"/>
      <c r="AG219" s="243"/>
      <c r="AH219" s="243"/>
      <c r="AI219" s="243"/>
      <c r="AJ219" s="243"/>
      <c r="AK219" s="244"/>
      <c r="AL219"/>
      <c r="AM219"/>
      <c r="AN219"/>
      <c r="AO219"/>
      <c r="AP219" s="16"/>
      <c r="AQ219" s="16"/>
      <c r="AR219" s="16"/>
      <c r="AS219" s="16"/>
      <c r="AT219" s="16"/>
      <c r="AU219"/>
    </row>
  </sheetData>
  <mergeCells count="428">
    <mergeCell ref="D87:V87"/>
    <mergeCell ref="AN1:AQ2"/>
    <mergeCell ref="AA204:AK219"/>
    <mergeCell ref="A159:Z159"/>
    <mergeCell ref="AA159:AK159"/>
    <mergeCell ref="AA160:AK180"/>
    <mergeCell ref="A181:Z181"/>
    <mergeCell ref="AA181:AK181"/>
    <mergeCell ref="AA182:AK202"/>
    <mergeCell ref="A203:Z203"/>
    <mergeCell ref="AA203:AK203"/>
    <mergeCell ref="AA97:AK116"/>
    <mergeCell ref="A117:Z117"/>
    <mergeCell ref="AA117:AK117"/>
    <mergeCell ref="AA118:AK137"/>
    <mergeCell ref="A138:Z138"/>
    <mergeCell ref="AA138:AK138"/>
    <mergeCell ref="AA139:AK158"/>
    <mergeCell ref="A96:Z96"/>
    <mergeCell ref="AA96:AK96"/>
    <mergeCell ref="A93:Z93"/>
    <mergeCell ref="Y81:Z81"/>
    <mergeCell ref="AA81:AB81"/>
    <mergeCell ref="A78:C78"/>
    <mergeCell ref="AA93:AK93"/>
    <mergeCell ref="A86:C86"/>
    <mergeCell ref="D90:V90"/>
    <mergeCell ref="W90:X90"/>
    <mergeCell ref="Y90:Z90"/>
    <mergeCell ref="AA90:AB90"/>
    <mergeCell ref="D91:V91"/>
    <mergeCell ref="W91:X91"/>
    <mergeCell ref="Y91:Z91"/>
    <mergeCell ref="AA91:AB91"/>
    <mergeCell ref="D89:V89"/>
    <mergeCell ref="W89:X89"/>
    <mergeCell ref="Y89:Z89"/>
    <mergeCell ref="AA89:AB89"/>
    <mergeCell ref="D88:V88"/>
    <mergeCell ref="W88:X88"/>
    <mergeCell ref="Y88:Z88"/>
    <mergeCell ref="AA88:AB88"/>
    <mergeCell ref="B87:C92"/>
    <mergeCell ref="A87:A92"/>
    <mergeCell ref="AA92:AB92"/>
    <mergeCell ref="Y92:Z92"/>
    <mergeCell ref="AC92:AK92"/>
    <mergeCell ref="AC90:AK90"/>
    <mergeCell ref="A79:A84"/>
    <mergeCell ref="AA78:AB78"/>
    <mergeCell ref="AC78:AK78"/>
    <mergeCell ref="W74:X74"/>
    <mergeCell ref="Y74:Z74"/>
    <mergeCell ref="AA74:AB74"/>
    <mergeCell ref="AC74:AK74"/>
    <mergeCell ref="W76:X76"/>
    <mergeCell ref="Y76:Z76"/>
    <mergeCell ref="AA76:AB76"/>
    <mergeCell ref="AC76:AK76"/>
    <mergeCell ref="W82:X82"/>
    <mergeCell ref="Y82:Z82"/>
    <mergeCell ref="AA82:AB82"/>
    <mergeCell ref="AC82:AK82"/>
    <mergeCell ref="W84:X84"/>
    <mergeCell ref="Y84:Z84"/>
    <mergeCell ref="AA84:AB84"/>
    <mergeCell ref="AC84:AK84"/>
    <mergeCell ref="D75:V75"/>
    <mergeCell ref="W75:X75"/>
    <mergeCell ref="B79:C84"/>
    <mergeCell ref="AA77:AK77"/>
    <mergeCell ref="AC91:AK91"/>
    <mergeCell ref="AC89:AK89"/>
    <mergeCell ref="AC88:AK88"/>
    <mergeCell ref="Y86:Z86"/>
    <mergeCell ref="AA86:AB86"/>
    <mergeCell ref="AC86:AK86"/>
    <mergeCell ref="Y87:Z87"/>
    <mergeCell ref="AA87:AB87"/>
    <mergeCell ref="Y78:Z78"/>
    <mergeCell ref="AA85:AK85"/>
    <mergeCell ref="AC87:AK87"/>
    <mergeCell ref="Y68:Z68"/>
    <mergeCell ref="AA68:AB68"/>
    <mergeCell ref="AC68:AK68"/>
    <mergeCell ref="W69:X69"/>
    <mergeCell ref="Y69:Z69"/>
    <mergeCell ref="AA69:AB69"/>
    <mergeCell ref="AC69:AK69"/>
    <mergeCell ref="AA73:AB73"/>
    <mergeCell ref="AC73:AK73"/>
    <mergeCell ref="W70:X70"/>
    <mergeCell ref="Y70:Z70"/>
    <mergeCell ref="AA70:AB70"/>
    <mergeCell ref="AC70:AK70"/>
    <mergeCell ref="W71:X71"/>
    <mergeCell ref="Y72:Z72"/>
    <mergeCell ref="AA72:AB72"/>
    <mergeCell ref="AC72:AK72"/>
    <mergeCell ref="W73:X73"/>
    <mergeCell ref="Y73:Z73"/>
    <mergeCell ref="Y71:Z71"/>
    <mergeCell ref="AA71:AB71"/>
    <mergeCell ref="AC71:AK71"/>
    <mergeCell ref="D92:V92"/>
    <mergeCell ref="D80:V80"/>
    <mergeCell ref="D81:V81"/>
    <mergeCell ref="D82:V82"/>
    <mergeCell ref="D84:V84"/>
    <mergeCell ref="W92:X92"/>
    <mergeCell ref="AA75:AB75"/>
    <mergeCell ref="AC75:AK75"/>
    <mergeCell ref="Y75:Z75"/>
    <mergeCell ref="Y83:Z83"/>
    <mergeCell ref="AA83:AB83"/>
    <mergeCell ref="AC83:AK83"/>
    <mergeCell ref="W80:X80"/>
    <mergeCell ref="Y80:Z80"/>
    <mergeCell ref="AA80:AB80"/>
    <mergeCell ref="AC80:AK80"/>
    <mergeCell ref="W81:X81"/>
    <mergeCell ref="AC81:AK81"/>
    <mergeCell ref="W79:X79"/>
    <mergeCell ref="Y79:Z79"/>
    <mergeCell ref="AA79:AB79"/>
    <mergeCell ref="AC79:AK79"/>
    <mergeCell ref="A77:Z77"/>
    <mergeCell ref="D78:V78"/>
    <mergeCell ref="A67:C67"/>
    <mergeCell ref="D67:V67"/>
    <mergeCell ref="W67:X67"/>
    <mergeCell ref="W68:X68"/>
    <mergeCell ref="W86:X86"/>
    <mergeCell ref="W87:X87"/>
    <mergeCell ref="D86:V86"/>
    <mergeCell ref="D73:V73"/>
    <mergeCell ref="D74:V74"/>
    <mergeCell ref="D76:V76"/>
    <mergeCell ref="D79:V79"/>
    <mergeCell ref="D68:V68"/>
    <mergeCell ref="D69:V69"/>
    <mergeCell ref="D70:V70"/>
    <mergeCell ref="D71:V71"/>
    <mergeCell ref="D72:V72"/>
    <mergeCell ref="W78:X78"/>
    <mergeCell ref="D83:V83"/>
    <mergeCell ref="W83:X83"/>
    <mergeCell ref="B68:C76"/>
    <mergeCell ref="A68:A76"/>
    <mergeCell ref="W72:X72"/>
    <mergeCell ref="A85:Z85"/>
    <mergeCell ref="Y67:Z67"/>
    <mergeCell ref="AA67:AB67"/>
    <mergeCell ref="AC67:AK67"/>
    <mergeCell ref="Y62:Z62"/>
    <mergeCell ref="AA62:AB62"/>
    <mergeCell ref="AC62:AK62"/>
    <mergeCell ref="B54:C65"/>
    <mergeCell ref="A54:A65"/>
    <mergeCell ref="D65:V65"/>
    <mergeCell ref="W65:X65"/>
    <mergeCell ref="Y65:Z65"/>
    <mergeCell ref="AA65:AB65"/>
    <mergeCell ref="AC65:AK65"/>
    <mergeCell ref="D64:V64"/>
    <mergeCell ref="W64:X64"/>
    <mergeCell ref="Y64:Z64"/>
    <mergeCell ref="AA64:AB64"/>
    <mergeCell ref="AC64:AK64"/>
    <mergeCell ref="A66:Z66"/>
    <mergeCell ref="AA66:AK66"/>
    <mergeCell ref="W60:X60"/>
    <mergeCell ref="Y60:Z60"/>
    <mergeCell ref="D63:V63"/>
    <mergeCell ref="W63:X63"/>
    <mergeCell ref="Y63:Z63"/>
    <mergeCell ref="AC53:AK53"/>
    <mergeCell ref="AA63:AB63"/>
    <mergeCell ref="AC63:AK63"/>
    <mergeCell ref="D54:V54"/>
    <mergeCell ref="W54:X54"/>
    <mergeCell ref="Y54:Z54"/>
    <mergeCell ref="D56:V56"/>
    <mergeCell ref="W56:X56"/>
    <mergeCell ref="Y56:Z56"/>
    <mergeCell ref="AA60:AB60"/>
    <mergeCell ref="AC60:AK60"/>
    <mergeCell ref="D61:V61"/>
    <mergeCell ref="W61:X61"/>
    <mergeCell ref="Y61:Z61"/>
    <mergeCell ref="AA61:AB61"/>
    <mergeCell ref="AC61:AK61"/>
    <mergeCell ref="AA58:AB58"/>
    <mergeCell ref="AC58:AK58"/>
    <mergeCell ref="D59:V59"/>
    <mergeCell ref="W59:X59"/>
    <mergeCell ref="Y59:Z59"/>
    <mergeCell ref="AA59:AB59"/>
    <mergeCell ref="AC59:AK59"/>
    <mergeCell ref="D58:V58"/>
    <mergeCell ref="AC51:AK51"/>
    <mergeCell ref="D53:V53"/>
    <mergeCell ref="AA56:AB56"/>
    <mergeCell ref="AC56:AK56"/>
    <mergeCell ref="A52:Z52"/>
    <mergeCell ref="D57:V57"/>
    <mergeCell ref="W57:X57"/>
    <mergeCell ref="Y57:Z57"/>
    <mergeCell ref="AA57:AB57"/>
    <mergeCell ref="AC57:AK57"/>
    <mergeCell ref="AA54:AB54"/>
    <mergeCell ref="AC54:AK54"/>
    <mergeCell ref="D55:V55"/>
    <mergeCell ref="W55:X55"/>
    <mergeCell ref="Y55:Z55"/>
    <mergeCell ref="AA55:AB55"/>
    <mergeCell ref="AC55:AK55"/>
    <mergeCell ref="D51:V51"/>
    <mergeCell ref="W51:X51"/>
    <mergeCell ref="Y51:Z51"/>
    <mergeCell ref="AA51:AB51"/>
    <mergeCell ref="AA52:AK52"/>
    <mergeCell ref="A53:C53"/>
    <mergeCell ref="W53:X53"/>
    <mergeCell ref="A30:AK30"/>
    <mergeCell ref="AG32:AH32"/>
    <mergeCell ref="AE32:AF32"/>
    <mergeCell ref="AI32:AK32"/>
    <mergeCell ref="AI33:AK33"/>
    <mergeCell ref="AE33:AF33"/>
    <mergeCell ref="AG33:AH33"/>
    <mergeCell ref="AI36:AK36"/>
    <mergeCell ref="AE36:AF36"/>
    <mergeCell ref="AG36:AH36"/>
    <mergeCell ref="A32:AD32"/>
    <mergeCell ref="A33:AD33"/>
    <mergeCell ref="A34:AD34"/>
    <mergeCell ref="A35:AD35"/>
    <mergeCell ref="A36:AD36"/>
    <mergeCell ref="AI35:AK35"/>
    <mergeCell ref="AE35:AF35"/>
    <mergeCell ref="AG35:AH35"/>
    <mergeCell ref="AI34:AK34"/>
    <mergeCell ref="AE34:AF34"/>
    <mergeCell ref="AG34:AH34"/>
    <mergeCell ref="A18:AK18"/>
    <mergeCell ref="B20:R20"/>
    <mergeCell ref="B22:R22"/>
    <mergeCell ref="B24:R24"/>
    <mergeCell ref="B26:R26"/>
    <mergeCell ref="B28:R28"/>
    <mergeCell ref="U20:AK20"/>
    <mergeCell ref="U22:AK22"/>
    <mergeCell ref="U24:AK24"/>
    <mergeCell ref="U26:AK26"/>
    <mergeCell ref="U28:AK28"/>
    <mergeCell ref="K1:AK2"/>
    <mergeCell ref="A1:J2"/>
    <mergeCell ref="AA4:AB4"/>
    <mergeCell ref="AC4:AK4"/>
    <mergeCell ref="J4:Z4"/>
    <mergeCell ref="J14:Z14"/>
    <mergeCell ref="AA14:AC14"/>
    <mergeCell ref="AD14:AK14"/>
    <mergeCell ref="A16:T16"/>
    <mergeCell ref="U16:AK16"/>
    <mergeCell ref="A6:I6"/>
    <mergeCell ref="A4:I4"/>
    <mergeCell ref="J6:AK6"/>
    <mergeCell ref="A8:I8"/>
    <mergeCell ref="W8:AC8"/>
    <mergeCell ref="AD8:AK8"/>
    <mergeCell ref="J8:V8"/>
    <mergeCell ref="V10:AK10"/>
    <mergeCell ref="A10:U10"/>
    <mergeCell ref="J12:U12"/>
    <mergeCell ref="AC12:AK12"/>
    <mergeCell ref="A12:I12"/>
    <mergeCell ref="V12:AB12"/>
    <mergeCell ref="A14:I14"/>
    <mergeCell ref="AG37:AH37"/>
    <mergeCell ref="AI38:AK38"/>
    <mergeCell ref="AE38:AF38"/>
    <mergeCell ref="AG38:AH38"/>
    <mergeCell ref="AI37:AK37"/>
    <mergeCell ref="AE37:AF37"/>
    <mergeCell ref="AC43:AK43"/>
    <mergeCell ref="AC44:AK44"/>
    <mergeCell ref="AC45:AK45"/>
    <mergeCell ref="AI39:AK39"/>
    <mergeCell ref="AE39:AF39"/>
    <mergeCell ref="AG39:AH39"/>
    <mergeCell ref="A37:AD37"/>
    <mergeCell ref="A38:AD38"/>
    <mergeCell ref="A39:AD39"/>
    <mergeCell ref="AA43:AB43"/>
    <mergeCell ref="Y43:Z43"/>
    <mergeCell ref="W43:X43"/>
    <mergeCell ref="D44:V44"/>
    <mergeCell ref="D45:V45"/>
    <mergeCell ref="AA44:AB44"/>
    <mergeCell ref="AA45:AB45"/>
    <mergeCell ref="A41:AK41"/>
    <mergeCell ref="W44:X44"/>
    <mergeCell ref="Y44:Z44"/>
    <mergeCell ref="W45:X45"/>
    <mergeCell ref="Y45:Z45"/>
    <mergeCell ref="D43:V43"/>
    <mergeCell ref="A43:C43"/>
    <mergeCell ref="B44:C51"/>
    <mergeCell ref="A44:A51"/>
    <mergeCell ref="AC46:AK46"/>
    <mergeCell ref="AC47:AK47"/>
    <mergeCell ref="AC48:AK48"/>
    <mergeCell ref="AC49:AK49"/>
    <mergeCell ref="AC50:AK50"/>
    <mergeCell ref="Y46:Z46"/>
    <mergeCell ref="W49:X49"/>
    <mergeCell ref="Y49:Z49"/>
    <mergeCell ref="D46:V46"/>
    <mergeCell ref="D47:V47"/>
    <mergeCell ref="D48:V48"/>
    <mergeCell ref="D49:V49"/>
    <mergeCell ref="D50:V50"/>
    <mergeCell ref="AA49:AB49"/>
    <mergeCell ref="W50:X50"/>
    <mergeCell ref="Y50:Z50"/>
    <mergeCell ref="AA50:AB50"/>
    <mergeCell ref="A105:S105"/>
    <mergeCell ref="A106:S106"/>
    <mergeCell ref="A107:S107"/>
    <mergeCell ref="A108:S108"/>
    <mergeCell ref="A109:S109"/>
    <mergeCell ref="A110:S110"/>
    <mergeCell ref="A119:S119"/>
    <mergeCell ref="A120:S120"/>
    <mergeCell ref="AA46:AB46"/>
    <mergeCell ref="W47:X47"/>
    <mergeCell ref="Y47:Z47"/>
    <mergeCell ref="AA47:AB47"/>
    <mergeCell ref="W48:X48"/>
    <mergeCell ref="Y48:Z48"/>
    <mergeCell ref="AA48:AB48"/>
    <mergeCell ref="W46:X46"/>
    <mergeCell ref="A104:S104"/>
    <mergeCell ref="Y58:Z58"/>
    <mergeCell ref="D60:V60"/>
    <mergeCell ref="D62:V62"/>
    <mergeCell ref="W62:X62"/>
    <mergeCell ref="Y53:Z53"/>
    <mergeCell ref="AA53:AB53"/>
    <mergeCell ref="W58:X58"/>
    <mergeCell ref="A121:S121"/>
    <mergeCell ref="A122:S122"/>
    <mergeCell ref="A123:S123"/>
    <mergeCell ref="A124:S124"/>
    <mergeCell ref="A125:S125"/>
    <mergeCell ref="A126:S126"/>
    <mergeCell ref="A127:S127"/>
    <mergeCell ref="A128:S128"/>
    <mergeCell ref="A129:S129"/>
    <mergeCell ref="U130:V130"/>
    <mergeCell ref="U140:V140"/>
    <mergeCell ref="A148:S148"/>
    <mergeCell ref="A161:S161"/>
    <mergeCell ref="A162:S162"/>
    <mergeCell ref="A163:S163"/>
    <mergeCell ref="A164:S164"/>
    <mergeCell ref="A165:S165"/>
    <mergeCell ref="A166:S166"/>
    <mergeCell ref="A130:S130"/>
    <mergeCell ref="A140:S140"/>
    <mergeCell ref="A141:S141"/>
    <mergeCell ref="A142:S142"/>
    <mergeCell ref="A143:S143"/>
    <mergeCell ref="A144:S144"/>
    <mergeCell ref="A145:S145"/>
    <mergeCell ref="A146:S146"/>
    <mergeCell ref="A147:S147"/>
    <mergeCell ref="U141:V141"/>
    <mergeCell ref="U142:V142"/>
    <mergeCell ref="U143:V143"/>
    <mergeCell ref="U144:V144"/>
    <mergeCell ref="U145:V145"/>
    <mergeCell ref="U146:V146"/>
    <mergeCell ref="U121:V121"/>
    <mergeCell ref="U122:V122"/>
    <mergeCell ref="U123:V123"/>
    <mergeCell ref="U124:V124"/>
    <mergeCell ref="U125:V125"/>
    <mergeCell ref="U126:V126"/>
    <mergeCell ref="U127:V127"/>
    <mergeCell ref="U128:V128"/>
    <mergeCell ref="U129:V129"/>
    <mergeCell ref="U104:V104"/>
    <mergeCell ref="U105:V105"/>
    <mergeCell ref="U106:V106"/>
    <mergeCell ref="U107:V107"/>
    <mergeCell ref="U108:V108"/>
    <mergeCell ref="U109:V109"/>
    <mergeCell ref="U110:V110"/>
    <mergeCell ref="U119:V119"/>
    <mergeCell ref="U120:V120"/>
    <mergeCell ref="U147:V147"/>
    <mergeCell ref="U148:V148"/>
    <mergeCell ref="U161:V161"/>
    <mergeCell ref="U187:V187"/>
    <mergeCell ref="U188:V188"/>
    <mergeCell ref="A205:M205"/>
    <mergeCell ref="A206:M206"/>
    <mergeCell ref="A207:M207"/>
    <mergeCell ref="A208:M208"/>
    <mergeCell ref="A209:M209"/>
    <mergeCell ref="U162:V162"/>
    <mergeCell ref="U163:V163"/>
    <mergeCell ref="U164:V164"/>
    <mergeCell ref="U165:V165"/>
    <mergeCell ref="U166:V166"/>
    <mergeCell ref="U183:V183"/>
    <mergeCell ref="U184:V184"/>
    <mergeCell ref="U185:V185"/>
    <mergeCell ref="U186:V186"/>
    <mergeCell ref="A185:S185"/>
    <mergeCell ref="A186:S186"/>
    <mergeCell ref="A187:S187"/>
    <mergeCell ref="A188:S188"/>
    <mergeCell ref="A183:S183"/>
    <mergeCell ref="A184:S184"/>
  </mergeCells>
  <pageMargins left="0.25" right="0.25" top="0.75" bottom="0.75" header="0.3" footer="0.3"/>
  <pageSetup scale="89" orientation="portrait" r:id="rId1"/>
  <rowBreaks count="5" manualBreakCount="5">
    <brk id="52" max="16383" man="1"/>
    <brk id="66" max="16383" man="1"/>
    <brk id="95" max="16383" man="1"/>
    <brk id="137" max="16383" man="1"/>
    <brk id="180" max="16383" man="1"/>
  </rowBreaks>
  <colBreaks count="1" manualBreakCount="1">
    <brk id="37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297d7ce5-35f8-41eb-a2d0-f8b1c8292501">SURA-1500342779-1457</_dlc_DocId>
    <_dlc_DocIdUrl xmlns="297d7ce5-35f8-41eb-a2d0-f8b1c8292501">
      <Url>https://suramericana.sharepoint.com/sites/intranet/negocio/arl/portafolio/_layouts/15/DocIdRedir.aspx?ID=SURA-1500342779-1457</Url>
      <Description>SURA-1500342779-1457</Description>
    </_dlc_DocIdUrl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2C82A7DA470041B242C9452A86CF0A" ma:contentTypeVersion="928" ma:contentTypeDescription="Crear nuevo documento." ma:contentTypeScope="" ma:versionID="c0edd24738fea789fbfaa07915e5495b">
  <xsd:schema xmlns:xsd="http://www.w3.org/2001/XMLSchema" xmlns:xs="http://www.w3.org/2001/XMLSchema" xmlns:p="http://schemas.microsoft.com/office/2006/metadata/properties" xmlns:ns1="http://schemas.microsoft.com/sharepoint/v3" xmlns:ns2="297d7ce5-35f8-41eb-a2d0-f8b1c8292501" xmlns:ns3="4aab698e-067c-4339-8941-f415a90b3823" targetNamespace="http://schemas.microsoft.com/office/2006/metadata/properties" ma:root="true" ma:fieldsID="093e21bd3841010d4bd01f00005e77e7" ns1:_="" ns2:_="" ns3:_="">
    <xsd:import namespace="http://schemas.microsoft.com/sharepoint/v3"/>
    <xsd:import namespace="297d7ce5-35f8-41eb-a2d0-f8b1c8292501"/>
    <xsd:import namespace="4aab698e-067c-4339-8941-f415a90b3823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1:_ip_UnifiedCompliancePolicyProperties" minOccurs="0"/>
                <xsd:element ref="ns1:_ip_UnifiedCompliancePolicyUIAction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7d7ce5-35f8-41eb-a2d0-f8b1c8292501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e Id. de documento" ma:description="El valor del identificador de documento asignado a este elemento." ma:internalName="_dlc_DocId" ma:readOnly="true">
      <xsd:simpleType>
        <xsd:restriction base="dms:Text"/>
      </xsd:simpleType>
    </xsd:element>
    <xsd:element name="_dlc_DocIdUrl" ma:index="9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ab698e-067c-4339-8941-f415a90b38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17A67F-FD1B-4DB2-BDC8-1F69142A25EA}">
  <ds:schemaRefs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4aab698e-067c-4339-8941-f415a90b3823"/>
    <ds:schemaRef ds:uri="http://www.w3.org/XML/1998/namespace"/>
    <ds:schemaRef ds:uri="297d7ce5-35f8-41eb-a2d0-f8b1c8292501"/>
    <ds:schemaRef ds:uri="http://schemas.microsoft.com/sharepoint/v3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E12C2B80-AB3A-4338-A40D-0979762C519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1D920A8-90CA-4F34-90E7-4621037579C2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4FE426EE-E3D2-4C34-8A8C-C5F62FF715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97d7ce5-35f8-41eb-a2d0-f8b1c8292501"/>
    <ds:schemaRef ds:uri="4aab698e-067c-4339-8941-f415a90b38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Diagnóstico </vt:lpstr>
      <vt:lpstr>'Diagnóstico '!Área_de_impresión</vt:lpstr>
    </vt:vector>
  </TitlesOfParts>
  <Company>Suramericana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Andres Naranjo Lotero</dc:creator>
  <cp:lastModifiedBy>leislie Marcela Coral Duarte</cp:lastModifiedBy>
  <cp:lastPrinted>2016-12-28T15:48:13Z</cp:lastPrinted>
  <dcterms:created xsi:type="dcterms:W3CDTF">2013-08-30T18:17:13Z</dcterms:created>
  <dcterms:modified xsi:type="dcterms:W3CDTF">2023-03-28T16:48:50Z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0x010100712C82A7DA470041B242C9452A86CF0A</vt:lpwstr>
  </property>
  <property fmtid="{D5CDD505-2E9C-101B-9397-08002B2CF9AE}" pid="3" name="_dlc_DocIdItemGuid">
    <vt:lpwstr>49fcd148-049e-475d-a933-adce6bb37887</vt:lpwstr>
  </property>
</Properties>
</file>