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autoCompressPictures="0"/>
  <mc:AlternateContent xmlns:mc="http://schemas.openxmlformats.org/markup-compatibility/2006">
    <mc:Choice Requires="x15">
      <x15ac:absPath xmlns:x15ac="http://schemas.microsoft.com/office/spreadsheetml/2010/11/ac" url="C:\Users\leisl\Desktop\LINEAS BASE LEVAPAN\"/>
    </mc:Choice>
  </mc:AlternateContent>
  <xr:revisionPtr revIDLastSave="0" documentId="13_ncr:1_{E9ED72EF-3DB7-4BCC-A58D-9E6442186381}" xr6:coauthVersionLast="47" xr6:coauthVersionMax="47" xr10:uidLastSave="{00000000-0000-0000-0000-000000000000}"/>
  <bookViews>
    <workbookView xWindow="-108" yWindow="-108" windowWidth="23256" windowHeight="12456" tabRatio="811" activeTab="2" xr2:uid="{00000000-000D-0000-FFFF-FFFF00000000}"/>
  </bookViews>
  <sheets>
    <sheet name="Portada" sheetId="7" r:id="rId1"/>
    <sheet name="Siglas" sheetId="8" r:id="rId2"/>
    <sheet name="SST sector EL. y Actividades" sheetId="1" r:id="rId3"/>
    <sheet name="Centrales Térmicas" sheetId="10" r:id="rId4"/>
    <sheet name="C. Hidroeléctricas" sheetId="11" r:id="rId5"/>
    <sheet name="L. Transmisión" sheetId="12" r:id="rId6"/>
    <sheet name="Redes de distribución" sheetId="13" r:id="rId7"/>
    <sheet name="Comercialización" sheetId="14" r:id="rId8"/>
    <sheet name="Lista" sheetId="15" state="hidden" r:id="rId9"/>
    <sheet name="Resultados" sheetId="1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129" i="1" l="1"/>
  <c r="M119" i="1"/>
  <c r="M135" i="1"/>
  <c r="M134" i="1"/>
  <c r="M112" i="1"/>
  <c r="M105" i="1"/>
  <c r="M44" i="1"/>
  <c r="J45" i="13"/>
  <c r="J46" i="13"/>
  <c r="J47"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122" i="1"/>
  <c r="J123" i="1"/>
  <c r="J124" i="1"/>
  <c r="J125" i="1"/>
  <c r="J126" i="1"/>
  <c r="J127" i="1"/>
  <c r="J128" i="1"/>
  <c r="J129" i="1"/>
  <c r="J121" i="1"/>
  <c r="J114" i="1"/>
  <c r="J115" i="1"/>
  <c r="J116" i="1"/>
  <c r="J117" i="1"/>
  <c r="J118" i="1"/>
  <c r="J119" i="1"/>
  <c r="J113" i="1"/>
  <c r="J109" i="1"/>
  <c r="J110" i="1"/>
  <c r="J111" i="1"/>
  <c r="J108" i="1"/>
  <c r="J103" i="1"/>
  <c r="J104" i="1"/>
  <c r="J102" i="1"/>
  <c r="J91" i="1"/>
  <c r="J92" i="1"/>
  <c r="J93" i="1"/>
  <c r="J94" i="1"/>
  <c r="J95" i="1"/>
  <c r="J96" i="1"/>
  <c r="J97" i="1"/>
  <c r="J98" i="1"/>
  <c r="J99" i="1"/>
  <c r="J100" i="1"/>
  <c r="J90"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45" i="1"/>
  <c r="J43" i="1"/>
  <c r="J42" i="1"/>
  <c r="J34" i="14"/>
  <c r="J33" i="14"/>
  <c r="J32" i="14"/>
  <c r="J30" i="14"/>
  <c r="J29" i="14"/>
  <c r="J28" i="14"/>
  <c r="J27" i="14"/>
  <c r="J26" i="14"/>
  <c r="J24" i="14"/>
  <c r="J23" i="14"/>
  <c r="J22" i="14"/>
  <c r="J21" i="14"/>
  <c r="J20" i="14"/>
  <c r="J19" i="14"/>
  <c r="J18" i="14"/>
  <c r="J17" i="14"/>
  <c r="J16" i="14"/>
  <c r="J15" i="14"/>
  <c r="J14" i="14"/>
  <c r="J13" i="14"/>
  <c r="J11" i="14"/>
  <c r="J10" i="14"/>
  <c r="J9" i="14"/>
  <c r="J8" i="14"/>
  <c r="J44" i="13"/>
  <c r="J43" i="13"/>
  <c r="J42" i="13"/>
  <c r="J41" i="13"/>
  <c r="J40" i="13"/>
  <c r="J39" i="13"/>
  <c r="J38" i="13"/>
  <c r="J37" i="13"/>
  <c r="J36" i="13"/>
  <c r="J35" i="13"/>
  <c r="J34" i="13"/>
  <c r="J33" i="13"/>
  <c r="J32" i="13"/>
  <c r="J31" i="13"/>
  <c r="J30" i="13"/>
  <c r="J29" i="13"/>
  <c r="J28" i="13"/>
  <c r="J27" i="13"/>
  <c r="J25" i="13"/>
  <c r="J24" i="13"/>
  <c r="J23" i="13"/>
  <c r="J22" i="13"/>
  <c r="J21" i="13"/>
  <c r="J20" i="13"/>
  <c r="J19" i="13"/>
  <c r="J18" i="13"/>
  <c r="J17" i="13"/>
  <c r="J16" i="13"/>
  <c r="J15" i="13"/>
  <c r="J14" i="13"/>
  <c r="J13" i="13"/>
  <c r="J12" i="13"/>
  <c r="J11" i="13"/>
  <c r="J10" i="13"/>
  <c r="J9" i="13"/>
  <c r="J8" i="13"/>
  <c r="J7" i="13"/>
  <c r="J20" i="12"/>
  <c r="J48" i="12"/>
  <c r="J47" i="12"/>
  <c r="J46" i="12"/>
  <c r="J45" i="12"/>
  <c r="J44" i="12"/>
  <c r="J43" i="12"/>
  <c r="J42" i="12"/>
  <c r="J41" i="12"/>
  <c r="J40" i="12"/>
  <c r="J39" i="12"/>
  <c r="J38" i="12"/>
  <c r="J37" i="12"/>
  <c r="J36" i="12"/>
  <c r="J35" i="12"/>
  <c r="J33" i="12"/>
  <c r="J32" i="12"/>
  <c r="J31" i="12"/>
  <c r="J30" i="12"/>
  <c r="J29" i="12"/>
  <c r="J28" i="12"/>
  <c r="J27" i="12"/>
  <c r="J26" i="12"/>
  <c r="J25" i="12"/>
  <c r="J24" i="12"/>
  <c r="J23" i="12"/>
  <c r="J22" i="12"/>
  <c r="J21" i="12"/>
  <c r="J19" i="12"/>
  <c r="J17" i="12"/>
  <c r="J16" i="12"/>
  <c r="J15" i="12"/>
  <c r="J14" i="12"/>
  <c r="J13" i="12"/>
  <c r="J12" i="12"/>
  <c r="J10" i="12"/>
  <c r="J9" i="12"/>
  <c r="J7" i="12"/>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7" i="11"/>
  <c r="J16" i="11"/>
  <c r="J15" i="11"/>
  <c r="J14" i="11"/>
  <c r="J13" i="11"/>
  <c r="J12" i="11"/>
  <c r="J11" i="11"/>
  <c r="J10" i="11"/>
  <c r="J9" i="11"/>
  <c r="J8" i="11"/>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40" i="10"/>
  <c r="J39" i="10"/>
  <c r="J38" i="10"/>
  <c r="J37" i="10"/>
  <c r="J36" i="10"/>
  <c r="J35" i="10"/>
  <c r="J34" i="10"/>
  <c r="J33" i="10"/>
  <c r="J32" i="10"/>
  <c r="J31" i="10"/>
  <c r="J30" i="10"/>
  <c r="J29" i="10"/>
  <c r="J28" i="10"/>
  <c r="J27" i="10"/>
  <c r="J26" i="10"/>
  <c r="J25" i="10"/>
  <c r="J24" i="10"/>
  <c r="J23" i="10"/>
  <c r="J22" i="10"/>
  <c r="J21" i="10"/>
  <c r="J20" i="10"/>
  <c r="J19" i="10"/>
  <c r="J17" i="10"/>
  <c r="J16" i="10"/>
  <c r="J15" i="10"/>
  <c r="J14" i="10"/>
  <c r="J13" i="10"/>
  <c r="J12" i="10"/>
  <c r="J11" i="10"/>
  <c r="J10" i="10"/>
  <c r="J9" i="10"/>
  <c r="J8" i="10"/>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8" i="1"/>
  <c r="K100" i="1" l="1"/>
  <c r="M100" i="1" s="1"/>
  <c r="K41" i="1"/>
  <c r="M41" i="1" s="1"/>
  <c r="K88" i="1"/>
  <c r="M88" i="1" s="1"/>
  <c r="C9" i="16"/>
  <c r="D9" i="16" s="1"/>
  <c r="E9" i="16" s="1"/>
  <c r="C6" i="16"/>
  <c r="D6" i="16" s="1"/>
  <c r="E6" i="16" s="1"/>
  <c r="C8" i="16"/>
  <c r="C11" i="16"/>
  <c r="C10" i="16"/>
  <c r="C7" i="16"/>
  <c r="D7" i="16" s="1"/>
  <c r="D11" i="16" l="1"/>
  <c r="E11" i="16" s="1"/>
  <c r="D10" i="16"/>
  <c r="E10" i="16" s="1"/>
  <c r="D8" i="16"/>
  <c r="E8" i="16" s="1"/>
  <c r="E7" i="16"/>
  <c r="E12" i="16" l="1"/>
</calcChain>
</file>

<file path=xl/sharedStrings.xml><?xml version="1.0" encoding="utf-8"?>
<sst xmlns="http://schemas.openxmlformats.org/spreadsheetml/2006/main" count="1129" uniqueCount="768">
  <si>
    <t>Nombre de la empresa:</t>
  </si>
  <si>
    <t>Nit de la empresa:</t>
  </si>
  <si>
    <t>Fecha de realización:</t>
  </si>
  <si>
    <t>Realizado por:</t>
  </si>
  <si>
    <t>Cargo:</t>
  </si>
  <si>
    <t>Asesorado por:</t>
  </si>
  <si>
    <t>Ciudad:</t>
  </si>
  <si>
    <t>Departamento de ubicación:</t>
  </si>
  <si>
    <t>SIGLA</t>
  </si>
  <si>
    <t>Sector económico:</t>
  </si>
  <si>
    <t>Clase de riesgo:</t>
  </si>
  <si>
    <t>Resolución 5018 de 2019</t>
  </si>
  <si>
    <t>por la cual se establecen lineamientos en Seguridad y Salud en el trabajo en los Procesos de Generación, Transmisión, Distribución y Comercialización de la Energía Eléctrica.</t>
  </si>
  <si>
    <t>N°</t>
  </si>
  <si>
    <t>ITEM</t>
  </si>
  <si>
    <t>Generalidades</t>
  </si>
  <si>
    <t>Se tiene identificada la Resolución 5018/19 en la matriz de requisitos legales?</t>
  </si>
  <si>
    <t>Se cuenta con hojas de vida del personal externo que realiza actividades en seguridad y salud en el trabajo?</t>
  </si>
  <si>
    <t>La organización cuenta con procedimientos de perfiles de cargo y se validan las hojas de vida del personal técnico y de seguridad?</t>
  </si>
  <si>
    <t>Artículo 1</t>
  </si>
  <si>
    <t xml:space="preserve">Artículo 2 </t>
  </si>
  <si>
    <t>La organización cuenta con el procedimiento de habilitación y se encuentra evidenciada la habilitación del personal ?</t>
  </si>
  <si>
    <t>Se realiza formación en Riesgo eléctrico a todo el personal operativo y administrativo?</t>
  </si>
  <si>
    <t>Artículo 3</t>
  </si>
  <si>
    <t>Artículo 4</t>
  </si>
  <si>
    <t>La organización cuenta con procedimientos de seguridad para actividades eléctricas propios?</t>
  </si>
  <si>
    <t>La organización cuenta con Manual de funciones, Permiso de Trabajo Orden de trabajo para la ejecución de las actividades?</t>
  </si>
  <si>
    <t>Se realiza la socialización de los procedimientos de seguridad y se garantiza su efectividad?</t>
  </si>
  <si>
    <t>La organización cuenta con procedimiento para cumplimiento de las 5 Reglas de Oro del sector eléctrico</t>
  </si>
  <si>
    <t>La organización identifica el método de trabajo para realizar las actividades eléctricas?</t>
  </si>
  <si>
    <t>La organización cuenta con procedimiento de señalización perimetral y cuanta con plan de manejo de tránsito aprobado por el ente gubernamental?</t>
  </si>
  <si>
    <t>Artículo 5</t>
  </si>
  <si>
    <t>La organización realiza seguimiento a la aplicación estricta de las 5 Reglas de Oro del Sector Eléctrico?</t>
  </si>
  <si>
    <t>La organización cuenta con los equipos y herramientas certificadas para realizar la aplicación de las 5  Reglas de Oro?</t>
  </si>
  <si>
    <t>Artículo 6</t>
  </si>
  <si>
    <t>La organización realiza trabajos con tensión a mas de 25V?</t>
  </si>
  <si>
    <t>La organización cuenta con procedimientos de seguridad para trabajos con tensión?</t>
  </si>
  <si>
    <t>La organización cuenta con la habilitación para los de trabajos con tensión y el personal cuenta con certificado de competencia laboral vigente siempre y cuando exista dentro de su perfil ocupacional y garantiza entre otras, las siguientes condiciones:
a)  Alto grado de habilidad manual, buena coordinación visual y motora, capacidad   de   concentración,   gran   sentido   de   responsabilidad   y compañerismo, desarrollo normal del sistema propioceptivo y funcionamiento normal del sistema vestibular.
b)  Alto grado de compatibilidad para el trabajo en grupo que le permita una buena coordinación y sincronización en el trabajo a desarrollar. 
c) Conocer los dispositivos de corte eléctrico y sus características. Tener conocimientos de seguridad eléctrica.</t>
  </si>
  <si>
    <t>Artículo 7</t>
  </si>
  <si>
    <t>Artículo 8</t>
  </si>
  <si>
    <t>Los elementos de protección personal y equipos colectivos de seguridad  se encuentran certificados por el fabricante de acuerdo con normas técnicas nacionales o internacionales, así como los que apliquen para la protección  contra el peligro eléctrico cuentan con pruebas de rigidez dieléctrica de  acuerdo con el RETIE por un laboratorio acreditado ante el organismo  nacional respectivo?</t>
  </si>
  <si>
    <t>Los equipos rígidos de soporte (vehículos canasta, escaleras, plataformas y andamios) aislados se garantizan que la corriente de fuga no sea  mayor de 1 pA/Kv menos el 10% del nivel de tensión en el que se este  trabajando?</t>
  </si>
  <si>
    <t>Artículo 9</t>
  </si>
  <si>
    <t>Artículo 10</t>
  </si>
  <si>
    <t>Artículo 11</t>
  </si>
  <si>
    <t>En la operación se garantiza el cumplimento de las distancias de seguridad a que se refiere el RETIE?</t>
  </si>
  <si>
    <t>Artículo 12</t>
  </si>
  <si>
    <t>La organización cuenta con procedimiento para señalización e identificación de fases y estas se encuentran señalizadas e identificadas?</t>
  </si>
  <si>
    <t>Artículo 13</t>
  </si>
  <si>
    <t>Para las actividades del proceso de transformación la organización cuenta con procedimientos para la ejecución de Ordenes de Trabajo para el mantenimiento y la operación de todos los equipos.?</t>
  </si>
  <si>
    <t>Se realiza entrega y devolución de los equipos en la condición operativa indicada en el plan de trabajo aprobado por parte del responsable?</t>
  </si>
  <si>
    <t>Se Dispone de una copia actualizada de los procedimientos de operación de equipos de la Subestación dentro de la instalación, tanto en condiciones normales como de emergencia, incluyendo los pianos eléctricos actualizados correspondientes y los manuales de operación.?</t>
  </si>
  <si>
    <t>La organización garantiza que el personal no porta dentro de la Subestación elementos metálicos  que pongan en riesgo su vida o la de sus acompañantes.?</t>
  </si>
  <si>
    <t>Artículo 14</t>
  </si>
  <si>
    <t>Las cercas, mampostería, alambrados y mallas de encerramiento deben estar en buenas condiciones y debidamente conectadas a tierra?</t>
  </si>
  <si>
    <t>Se realiza el control periódico de plagas, roedores y vegetación, mediante controles químicos o biológicos aplicando la legislación vigente en materia ambiental y de seguridad y salud en el trabajo.?</t>
  </si>
  <si>
    <t>En ejecución de maniobras en subestaciones siempre se cuenta con un medio de comunicación entre el personal habilitado y centro de control.?</t>
  </si>
  <si>
    <t>Al retiro de cubiertas, protecciones o frentes muertos de las partes energizadas de los tableros, se delimita el área de trabajo con barreras de seguridad y avisos de peligro, ?</t>
  </si>
  <si>
    <t>Sobre las cubiertas principales o puertas frontales de los tableros se realiza la marcación del diagrama unifilar actualizado, como ayuda en la operación de los equipos.?</t>
  </si>
  <si>
    <t>En las celdas de los interruptores de media tensión, se encuentran  claramente identificadas y permiten ser diferenciables a simple vista, tanto en su parte frontal  como  en  su  parte  posterior,  si  corresponden  a  Llegada  de alimentadores o salidas de circuitos?</t>
  </si>
  <si>
    <t>Artículo 15</t>
  </si>
  <si>
    <t>Los equipos de medición y prueba utilizados deben tener sus manuales de operación y guía del usuario, de manera que se garantice la realización de las pruebas y mediciones, con el menor riesgo para los usuarios.?</t>
  </si>
  <si>
    <t>Al realizar reparaciones provisionales a los equipos, que alteren sus condiciones, de la instalación o de su operación, estas deben reportarse por escrito  y colocar avisos preventivos en el lugar,  indicando dicha condición?</t>
  </si>
  <si>
    <t>Todos los equipos primarios instalados en áreas de inducción y que se encuentran desconectados de las bases o limas para fines de pruebas o mantenimiento, se encuentran conectados a tierra para evitar descargas estáticas peligrosas.?</t>
  </si>
  <si>
    <t>Se evidencian cables energizados desconectados y con sus terminales suspendidas.?</t>
  </si>
  <si>
    <t>Al utilizar grúas se conectan a la malla de tierra de la subestación y se mantiene la distancia de seguridad a las partes con tensión.?</t>
  </si>
  <si>
    <t>Se realiza el cubrimiento de las tapas de los cárcamos y ducto para el paso de los vehículos con carga pesada acondicionado con durmientes o placas para evitar accidentes?</t>
  </si>
  <si>
    <t>Al realizar trabajos sin tensión en Sub estaciones se a cumplimiento a las Reglas de Oro y se cuenta con los procedimientos de trabajo seguro?</t>
  </si>
  <si>
    <t>Artículo 16</t>
  </si>
  <si>
    <t>En Sub estaciones capsuladas se consideran las recomendaciones de seguridad que establece el fabricante de la subestación o sus equipos asociados.?</t>
  </si>
  <si>
    <t>Artículo 17</t>
  </si>
  <si>
    <t>Artículo 18</t>
  </si>
  <si>
    <t>Se permite con facilidad  el  acceso  individual  a  cada  elemento  para las operaciones de mantenimiento tales como lectura de densidad, tensiones, inspección del nivel de electrolítico, adición de agua, entre otras de acuerdo con el tipo de baterías utilizadas.?</t>
  </si>
  <si>
    <t>Las  partes  energizadas  de  los  sistemas  de  baterías  se encuentran resguardadas para evitar contacto accidental con las personas u objetos independientemente de la tensión o tipo de batería.?</t>
  </si>
  <si>
    <t>Se permite el almacenamiento de elementos dentro del cuarto de baterías.?</t>
  </si>
  <si>
    <t>Artículo 19</t>
  </si>
  <si>
    <t>Se dispone de equipo extintor de incendios accesible desde el exterior.?</t>
  </si>
  <si>
    <t>Al ingresar al cuarto de baterías o realizar trabajos en un cuarto de baterías se verifica la calidad del aire interior y se usan los elementos de protección personal.?</t>
  </si>
  <si>
    <t>En las áreas de instrumentación y control solamente el personal autorizado, hace uso del equipo de prueba, instrumentos y herramientas de medición.?</t>
  </si>
  <si>
    <t>Artículo 20</t>
  </si>
  <si>
    <t>Artículo 21</t>
  </si>
  <si>
    <t>Se realiza Ia calibración de los instrumentos, herramientas y equipos en los casos que aplique y 
los equipos a revisar o reparar, ser identifican en los planos o diagramas y en el campo para el desarrollo del trabajo.?</t>
  </si>
  <si>
    <t>En la realización de pruebas de inyección de corriente se confirma que los caminos de corriente se encuentren cerrados (continuidad del circuito) y se Utilizar las puntas de prueba adecuadas y en buen estado; se asegura que los cables no se soltaran en Ia ejecución de la misma.. ?</t>
  </si>
  <si>
    <t>En cámaras de registro y cárcamos se evidencia  que no  se encuentren  inundados y se inspecciona y hace mantenimiento periódico a los drenajes.?</t>
  </si>
  <si>
    <t>Artículo 22</t>
  </si>
  <si>
    <t>Artículo 23</t>
  </si>
  <si>
    <t>Se realiza el análisis y control de peligros y se aplican los  controles  necesarios  con  los  conductores  energizados; igualmente evaluar y controlar otros posibles peligros (trabajo en alturas, espacios confinados, riesgo biológico, entre otros).?</t>
  </si>
  <si>
    <t>Artículo 24</t>
  </si>
  <si>
    <t>Artículo 25</t>
  </si>
  <si>
    <t>Las áreas restringidas se encuentran plenamente identificadas y señalizadas y el ingreso a las mismas es autorizado por la empresa.?</t>
  </si>
  <si>
    <t>Artículo 26</t>
  </si>
  <si>
    <t>El personal No electricista cuenta con formación y/o capacitación en peligros eléctricos, identificación de peligros y cuentan con elementos de protección personal.?</t>
  </si>
  <si>
    <t>Se cuenta con personal habilitado que ejerza supervisión constante?</t>
  </si>
  <si>
    <t>Artículo 27</t>
  </si>
  <si>
    <t>Artículo 28</t>
  </si>
  <si>
    <t>Se referencian las buenas practicas para determinar e implementar las mejores formas de proteger las subestaciones contra incendios?</t>
  </si>
  <si>
    <t>Artículo 31</t>
  </si>
  <si>
    <t>Artículo 32</t>
  </si>
  <si>
    <t>Artículo 33</t>
  </si>
  <si>
    <t>Artículo 34</t>
  </si>
  <si>
    <t>NFPA</t>
  </si>
  <si>
    <t>RETIE</t>
  </si>
  <si>
    <t>REGLAMENTO TÉCNICO DE INSTALACIONES ELÉCTRICAS</t>
  </si>
  <si>
    <t>La organización cuenta con un protocolo de comunicaciones interna para manejo de emergencias?</t>
  </si>
  <si>
    <t xml:space="preserve">Las puertas  abren hacia fuera y; permanecen cerradas y en buenas condiciones.? </t>
  </si>
  <si>
    <t>SG - SST</t>
  </si>
  <si>
    <t>SISTEMA DE GESTIÓN EN SEGURIDAD Y SALUD E EL TRABAJO</t>
  </si>
  <si>
    <t>SENA</t>
  </si>
  <si>
    <t>SERVICIO NACIONAL DE APRENDIZAJE</t>
  </si>
  <si>
    <t>Artículo 35 - a</t>
  </si>
  <si>
    <t>¿Las partes de maquinaria que se encuentren en movimiento permanecen protegidas? o ¿se cuenta con los métodos de control en el medio y distancias de seguridad?</t>
  </si>
  <si>
    <t>Artículo 35 - b</t>
  </si>
  <si>
    <t>¿Las tuberías y equipos cumple con el código de colores?</t>
  </si>
  <si>
    <t>Artículo 35 - c</t>
  </si>
  <si>
    <t>¿Las carátulas y ventanillas de los instrumentos indicadores o controladores se encuentran limpias y en buen estado?</t>
  </si>
  <si>
    <t>Artículo 35 - d</t>
  </si>
  <si>
    <t>¿las tuberías que requieren recubrimiento térmico se encuentran en buen estado?</t>
  </si>
  <si>
    <t>Artículo 35 - e</t>
  </si>
  <si>
    <t>¿Las tuberías se mantienen en buen estado?¿Se controlan la fugas de inmediato?</t>
  </si>
  <si>
    <t>Artículo 35 - f</t>
  </si>
  <si>
    <t>¿La válvulas se mantienen en buen estado y se verifican antes de su operación?</t>
  </si>
  <si>
    <t>Artículo 35 - g</t>
  </si>
  <si>
    <t>¿Se cuenta con un sistema de prueba, monitoreo y alarma para detectar fugas de hidrogeno?</t>
  </si>
  <si>
    <t>¿Se cuenta con procedimientos para el manejo de los cilindros de hidrógeno y programa de verificación periódica de los instrumentos medidores de control y protección del sistema?</t>
  </si>
  <si>
    <t>Artículo 35 - h</t>
  </si>
  <si>
    <t>¿Para labores de mantenimiento que se realicen a equipos que contengan hidrógeno se extrae el gas y se realizar una purga con el fin de verificar ausencia del mismo y se realiza medición atmosférica con equipo especializado?</t>
  </si>
  <si>
    <t>Artículo 35 - i</t>
  </si>
  <si>
    <t>¿En todos los equipos auxiliares cercanos al generador, se controlan los riesgos potenciales generadores de fuego, como fugas de aceites, acumulación de grasas, solventes, instalaciones eléctricas provisionales o en mal estado, procesos de soldadura, entre otros?</t>
  </si>
  <si>
    <t>Artículo 36</t>
  </si>
  <si>
    <t xml:space="preserve">¿Se cuenta con indicaciones claras y precisas con respecto a no fumar y encender fuego en cercanía de las áreas de manejo de combustibles líquidos, gas o carbón de acuerdo a la normatividad vigente?  </t>
  </si>
  <si>
    <t>¿Se cuenta con procedimientos para la manipulación e intervención y el tipo de EPP a emplear en las plantas donde se requiera el uso de CO2 e hidrógeno?</t>
  </si>
  <si>
    <t>Artículo 37 - a</t>
  </si>
  <si>
    <t>¿Las fugas o derrames de combustible se reportan, controlan y corrigen de inmediato?</t>
  </si>
  <si>
    <t>Artículo 37 - b</t>
  </si>
  <si>
    <t>¿Se cuenta con procedimientos, permisos especiales para trabajos en caliente, se realiza control y seguimiento estricto a su ejecución?</t>
  </si>
  <si>
    <t>Artículo 37 - c</t>
  </si>
  <si>
    <t>¿Se controlan los límites máximos del nivel de los de tanques de almacenamiento de combustibles?</t>
  </si>
  <si>
    <t>Artículo 37 - d</t>
  </si>
  <si>
    <t>¿Se conecta a tierra el vehículo transportador de combustible y con algún sistema de protección contra incendio en el proceso de cargue y descargue de combustible?</t>
  </si>
  <si>
    <t>Artículo 37 - e</t>
  </si>
  <si>
    <t>¿Se realiza uso exclusivo de equipos de comunicación intrínsecamente seguros?</t>
  </si>
  <si>
    <t>Artículo 37 - f</t>
  </si>
  <si>
    <t>¿Se garantiza que los diques de contención de los tanques de almacenamiento de combustibles no presenten fisuras o grietas?</t>
  </si>
  <si>
    <t>Artículo 37 - g</t>
  </si>
  <si>
    <t>¿Se asegura que los venteos de seguridad o desfogue de los tanques de almacenamiento no estén obstruidos?</t>
  </si>
  <si>
    <t>Artículo 37 - h</t>
  </si>
  <si>
    <t>¿El agua que se sedimenta en el fondo es evacuada periódicamente, evitando acumulaciones.?</t>
  </si>
  <si>
    <t>Artículo 37 - i</t>
  </si>
  <si>
    <t>¿Se cuenta con procedimientos de trabajo en alturas y espacios confinados. Para ingresar a un tanque de combustible?</t>
  </si>
  <si>
    <t>Artículo 38 - a</t>
  </si>
  <si>
    <t>¿Se cuenta con sistemas de corte de flujo para casos de emergencia en el manejo de gas combustible ?</t>
  </si>
  <si>
    <t>Artículo 38 - b</t>
  </si>
  <si>
    <t>¿Se dispone de medidores de concentración de gas y porcentaje de oxígeno para realizar de manera segura la operación, mantenimiento y pruebas de los sistemas de conexión, medición y distribución de gas, sin riesgos para el personal?</t>
  </si>
  <si>
    <t>Artículo 38 - c</t>
  </si>
  <si>
    <t>¿Las herramientas, equipos, medidores y demás elementos requeridos para mantenimiento y operación del sistema tienen las características para operar en áreas clasificadas?</t>
  </si>
  <si>
    <t>¿En las áreas de recepción, almacenamiento y manejo de carbón, se cumple con:?</t>
  </si>
  <si>
    <t>Artículo 39 - a - 2</t>
  </si>
  <si>
    <t>¿Solo se permite el ingreso al personal autorizado por la empresa?</t>
  </si>
  <si>
    <t>Artículo 39 - a - 3</t>
  </si>
  <si>
    <t>¿Se cuenta con un sistema contraincendios, acorde con la capacidad y especificaciones técnicas del material combustible y las instalaciones?</t>
  </si>
  <si>
    <t>Artículo 39 - a - 4</t>
  </si>
  <si>
    <t>¿Las pilas de carbón se encuentran compactadas?</t>
  </si>
  <si>
    <t>Artículo 39 - a - 5</t>
  </si>
  <si>
    <t>¿Las pilas se conservan limpias de tal manera que no haya materiales combustibles que puedan generar ignición, tales como, vegetación, madera, trapos, líquidos y en general cualquier material con estas características?</t>
  </si>
  <si>
    <t>Artículo 39 - a - 6</t>
  </si>
  <si>
    <t>¿Se cuenta con un método para reportar cualquier fumarola o fuego que se detecte en las pilas para su inmediata atención. La remoción y dispersión del carbón es una forma para controlar este tipo de eventos?</t>
  </si>
  <si>
    <t>Artículo 39 - a - 7</t>
  </si>
  <si>
    <t>¿Los pasillos y canales laterales a las bandas transportadoras se encuentran limpios?</t>
  </si>
  <si>
    <t>Artículo 39 - a - 8</t>
  </si>
  <si>
    <t>¿Las tolvas deberán cuenta con barandas?</t>
  </si>
  <si>
    <t>Artículo 39 - a - 9</t>
  </si>
  <si>
    <t>¿La zona de túneles cuenta con una buena ventilación?</t>
  </si>
  <si>
    <t>Artículo 39 - a - 10</t>
  </si>
  <si>
    <t>¿La iluminación es a prueba de explosión?</t>
  </si>
  <si>
    <t>Artículo 39 - a - 11</t>
  </si>
  <si>
    <t>¿Todas las vías de acceso y circulación de vehículos cuentan con señalización de tránsito y normas de seguridad que los conductores deben cumplir?</t>
  </si>
  <si>
    <t>Artículo 39 - a - 12</t>
  </si>
  <si>
    <t>¿El sistema contra incendio en túneles y bandas se encuentra en buenas condiciones de servicio?</t>
  </si>
  <si>
    <t>Artículo 39 - a - 13</t>
  </si>
  <si>
    <t>¿Se cuenta con programa de vigilancia epidemiológica para los trabajadores expuestos a polvo de carbón?</t>
  </si>
  <si>
    <t>Artículo 39 - a - 14</t>
  </si>
  <si>
    <t>¿El personal que labora en el área de recepción usa chaleco reflectivo?</t>
  </si>
  <si>
    <t>Artículo 39 - a - 15</t>
  </si>
  <si>
    <t>¿Los vehículos utilizados para actividades en patios de carbón están dotados de dispositivos que denoten su movimiento?</t>
  </si>
  <si>
    <t>Artículo 39 - a - 16</t>
  </si>
  <si>
    <t>¿El medio de transporte para la recolección de muestras en el área de recepción esta identificado de forma visible para que los conductores de vehículos o maquinaria de patio los identifique?</t>
  </si>
  <si>
    <t>Artículo 39 - b</t>
  </si>
  <si>
    <t>¿Las bandas transportadoras de carbón cumplen con:?</t>
  </si>
  <si>
    <t>Artículo 39 - b - 1</t>
  </si>
  <si>
    <t>¿Cuentan con sistema de detección, control y extinción de incendios. Al igual que el sistema de Bloqueo o parada de emergencia?</t>
  </si>
  <si>
    <t>Artículo 39 - b - 2</t>
  </si>
  <si>
    <t>¿Se reportan y corrigen de inmediato plataformas, pasillos, andenes, barandales, pasamanos, en mal estado?</t>
  </si>
  <si>
    <t>Artículo 39 - b - 3</t>
  </si>
  <si>
    <t>¿Se reportan y corrigen cualquier problema o desalineamiento en las plataformas?</t>
  </si>
  <si>
    <t>Artículo 39 - b - 4</t>
  </si>
  <si>
    <t>¿Solo se permanece en esta área con autorización?</t>
  </si>
  <si>
    <t>Artículo 39 - b - 5</t>
  </si>
  <si>
    <t>¿Al escuchar la alarma de arranque las personas se retiran inmediatamente de esta área?</t>
  </si>
  <si>
    <t>Artículo 39 - b - 6</t>
  </si>
  <si>
    <t>¿Las bandas transportadoras cuentan con paradas de emergencia de fácil manipulación y se verifica periódicamente su funcionamiento?</t>
  </si>
  <si>
    <t>Artículo 39 - b - 7</t>
  </si>
  <si>
    <t>¿Todas las zonas de peligro tales como puntos de atrapamiento, se encuentran protegidas por guardas de seguridad de tal manera que las personas no puedan llegar a estos puntos?</t>
  </si>
  <si>
    <t>Artículo 39 - b - 8</t>
  </si>
  <si>
    <t>¿Se opera el cordón del disparo de emergencia solo en caso de accidente y se reporta al Operario o al jefe inmediato de esta área?</t>
  </si>
  <si>
    <t>Artículo 39 - b - 9</t>
  </si>
  <si>
    <t>¿Se establece la prohibición de fumar y encender fuego en el área de bandas?</t>
  </si>
  <si>
    <t>Artículo 39 - b - 10</t>
  </si>
  <si>
    <t>¿Los pasillos y andenes se conservan siempre limpios?</t>
  </si>
  <si>
    <t>Artículo 39 - b - 11</t>
  </si>
  <si>
    <t>¿Se reporta y limpia la existencia de maleza en el exterior de las bandas?</t>
  </si>
  <si>
    <t>Artículo 39 - b - 12</t>
  </si>
  <si>
    <t>¿Para el desarrollo de trabajos en las bandas se cuenta con un sistema de permisos y control de energías peligrosas? No deben realizarse trabajos sobre las bandas cuando estén en movimiento.</t>
  </si>
  <si>
    <t>Artículo 39 - b - 13</t>
  </si>
  <si>
    <t>¿Se reportan y corrigen los escapes de carbón en banda?</t>
  </si>
  <si>
    <t>Artículo 39 - b - 14</t>
  </si>
  <si>
    <t>¿Se prohíbe el uso de las bandas como transporte de herramientas o personal?</t>
  </si>
  <si>
    <t>Artículo 39 - b - 15</t>
  </si>
  <si>
    <t>¿La iluminación es a prueba de explosión donde aplique o donde las condiciones de explosividad lo requieran y es mantenida en excelentes condiciones en el recorrido de las banda?</t>
  </si>
  <si>
    <t>Artículo 39 - b - 16</t>
  </si>
  <si>
    <t>¿El piso se mantiene libre de obstáculos y desperfectos?</t>
  </si>
  <si>
    <t>Artículo 39 - b - 17</t>
  </si>
  <si>
    <t>¿Los sistemas de drenajes se inspeccionan regularmente y se mantienen en óptimas condiciones?</t>
  </si>
  <si>
    <t>Artículo 39 - c</t>
  </si>
  <si>
    <t>¿Los separadores magnéticos se mantienen en servicio, se reporta y corrige cualquier desperfecto?. ¿La tolva de rechazos se encuentra limpia?</t>
  </si>
  <si>
    <t>Artículo 39 - d</t>
  </si>
  <si>
    <t xml:space="preserve">¿Los colectores de polvo se encuentran funcionando permanentemente? </t>
  </si>
  <si>
    <t>Artículo 39 - e</t>
  </si>
  <si>
    <t>¿En las torres de trituración se controla que no haya fugas de carbón? en caso de que existan, ¿Se ser reportan y corrigen? Al igual que las acumulaciones de carbón en esta área</t>
  </si>
  <si>
    <t>Artículo 39 - f</t>
  </si>
  <si>
    <t>¿En los silos de carbón se garantiza que esté disponible el sistema contra incendio? ¿Se efectúan periódicamente simulacros de atención de incendios.?</t>
  </si>
  <si>
    <t>Artículo 39 - g</t>
  </si>
  <si>
    <t>¿En los pulverizadores se cumplen las siguientes medidas:?</t>
  </si>
  <si>
    <t>Artículo 39 - g - 1</t>
  </si>
  <si>
    <t>¿Se realiza limpieza de tolvas de piritas cuando esté fuera de servicio el sistema automático?</t>
  </si>
  <si>
    <t>Artículo 39 - g - 2</t>
  </si>
  <si>
    <t>¿Se reportan y corrigen las fugas de carbón, aceite, gas y ruidos anormales?</t>
  </si>
  <si>
    <t>Artículo 39 - g - 3</t>
  </si>
  <si>
    <t>¿Se hace uso de los pasamanos instalados en los barandales de pulverizadores.?</t>
  </si>
  <si>
    <t>Artículo 39 - g - 4</t>
  </si>
  <si>
    <t>¿Se reporta y corrige cualquier derrame de agua en el sistema automático de extracción de piritas?</t>
  </si>
  <si>
    <t>Artículo 39 - g - 5</t>
  </si>
  <si>
    <t>¿Se utiliza todo equipo de protección personal correspondiente, al realizar trabajos en estas áreas?</t>
  </si>
  <si>
    <t>Artículo 40</t>
  </si>
  <si>
    <t>¿Se cumplen los siguientes requisitos mínimos de seguridad y control para asegurar trabajos en caldera?</t>
  </si>
  <si>
    <t>Artículo 40 - a</t>
  </si>
  <si>
    <t>¿Se cumple con condiciones operativas seguras?</t>
  </si>
  <si>
    <t>Artículo 40 - b</t>
  </si>
  <si>
    <t>¿Se cuenta con por lo menos un tablero de control eléctrico, desde donde se puedan controlar los diferentes equipos?</t>
  </si>
  <si>
    <t>Artículo 40 - c</t>
  </si>
  <si>
    <t>¿Se garantiza el encendido y apagado?</t>
  </si>
  <si>
    <t>Artículo 40 - d</t>
  </si>
  <si>
    <t>¿Se realiza purgado y barrido de caldera para evitar implosiones o explosiones en caldera?</t>
  </si>
  <si>
    <t>Artículo 40 - e</t>
  </si>
  <si>
    <t>¿Se cuenta con corte maestro de combustible?</t>
  </si>
  <si>
    <t>Artículo 40 - f</t>
  </si>
  <si>
    <t>¿Se garantiza y conserva el aislamiento térmico de equipos y tuberías?</t>
  </si>
  <si>
    <t>Artículo 40 - g</t>
  </si>
  <si>
    <t>¿Se cuenta con procedimientos de consignación y aislamiento de energías peligrosas para la ejecución de los trabajos de mantenimiento?. ¿Los trabajos de mantenimiento son autorizados por medio de permisos de trabajo?</t>
  </si>
  <si>
    <t>Artículo 40 - h</t>
  </si>
  <si>
    <t>¿Se realiza seguimiento al cumplimiento de los procedimientos para trabajo en alturas y espacios confinados?</t>
  </si>
  <si>
    <t>Artículo 40 - i</t>
  </si>
  <si>
    <t>¿Se cuenta con equipos y elementos de protección personal y de comunicaciones para trabajos en el interior de las calderas?</t>
  </si>
  <si>
    <t>Artículo 40 - j</t>
  </si>
  <si>
    <t>¿La temperatura de superficies aisladas térmicamente es inferior a 55°C?</t>
  </si>
  <si>
    <t>Artículo 41</t>
  </si>
  <si>
    <t>¿En el sistema de agua de enfriamiento se cumplen como mínimo, las siguientes normas?</t>
  </si>
  <si>
    <t>Artículo 41 - a</t>
  </si>
  <si>
    <t>¿En los estanques o lagos de enfriamiento se cumplen las siguientes medidas?</t>
  </si>
  <si>
    <t>Artículo 41 - a - 1</t>
  </si>
  <si>
    <t>¿Las áreas de estanques y lagos cuentan con señalización informativa y preventiva además se controla el acatamiento de las indicaciones?</t>
  </si>
  <si>
    <t>Artículo 41 - a - 2</t>
  </si>
  <si>
    <t>¿Se controla la presencia de flora acuática en el estanque o lago?</t>
  </si>
  <si>
    <t>Artículo 41 - a - 3</t>
  </si>
  <si>
    <t>¿Se realizan inspecciones periódicas para detectar infiltraciones de agua?</t>
  </si>
  <si>
    <t>Artículo 41 - b</t>
  </si>
  <si>
    <t>¿En las torres de enfriamiento se procede en la siguiente forma?</t>
  </si>
  <si>
    <t>Artículo 41 - b - 1</t>
  </si>
  <si>
    <t>¿Se cuenta con un sistema de detección de fugas en los equipos de dosificación de ácido sulfúrico y cloro?</t>
  </si>
  <si>
    <t>Artículo 41 - b - 2</t>
  </si>
  <si>
    <t>¿Se cuenta con señalización de manera permanente el sentido de rotación de los ventiladores?</t>
  </si>
  <si>
    <t>Artículo 41 - b - 3</t>
  </si>
  <si>
    <t>¿Se señaliza y limita el acceso a la piscina de las torres de enfriamiento?</t>
  </si>
  <si>
    <t>Artículo 41 - b - 4</t>
  </si>
  <si>
    <t>¿El acceso a la parte superior de las torres de enfriamiento esta protegido con barandas?</t>
  </si>
  <si>
    <t>Artículo 41 - b - 5</t>
  </si>
  <si>
    <t>¿Los paquetes de relleno de las torres de enfriamiento son fabricados en material retardante al fuego?</t>
  </si>
  <si>
    <t>Artículo 42</t>
  </si>
  <si>
    <t>¿Al realizar maniobras en el área de los precipitadores se cumplen las siguientes medidas?</t>
  </si>
  <si>
    <t>Artículo 42 - a</t>
  </si>
  <si>
    <t>¿Para entrar al precipitador se pone en consignación y seguridad este equipo o la celda que se inspeccionará?.¿ Se debe miden las condiciones ambientales? y ¿se cumple el procedimiento para trabajos en espacios confinados y alturas?</t>
  </si>
  <si>
    <t>Artículo 42 - b</t>
  </si>
  <si>
    <t>¿Para trabajos de mantenimiento se garantiza la no energización del equipo?</t>
  </si>
  <si>
    <t>Artículo 42 - c</t>
  </si>
  <si>
    <t>¿Se toman las precauciones posibles para evitar acercamiento a los transformadores cuando el ambiente se encuentre húmedo?</t>
  </si>
  <si>
    <t>Artículo 43.</t>
  </si>
  <si>
    <t>¿Al realizar actividades en el laboratorio químico se debe cumplir con:?</t>
  </si>
  <si>
    <t>Artículo 43 - a</t>
  </si>
  <si>
    <t>¿Para análisis de laboratorio donde hay exposición a reflejo por ignición se utiliza careta con visor oscuro o gafas de seguridad de lente oscuro, además de protección contra radiación térmica?</t>
  </si>
  <si>
    <t>Artículo 43 - b</t>
  </si>
  <si>
    <t>¿Las cabinas de insonorización y control de material pulverizado de los laboratorios de análisis de carbón cuentan con protocolo para prevenir la acumulación del mismo en el sistema? ¿La iluminación y equipos de molienda que se utilizan en este proceso son a prueba de explosión, así como los controles se deben accionar desde el exterior?</t>
  </si>
  <si>
    <t>Artículo 43 - c</t>
  </si>
  <si>
    <t>¿Las cabinas o vitrinas de extracción de laboratorio cuenta con el tiro suficiente para evacuar los gases, vapores irritantes generados durante las marchas analíticas?</t>
  </si>
  <si>
    <t>Artículo 43 - d</t>
  </si>
  <si>
    <t>¿Los sistemas de ventilación de laboratorio químico están diseñados para realizar los recambios de aire suficientes para mantener una atmosfera y temperatura adecuada?</t>
  </si>
  <si>
    <t>Artículo 43 - e</t>
  </si>
  <si>
    <t>¿El laboratorio esta dotado con duchas o equipo portátil para lavado de ojos?</t>
  </si>
  <si>
    <t>Artículo 44</t>
  </si>
  <si>
    <t>¿El personal que trabaje en el área de instrumentación y control cumple entre otras, las siguientes medidas:?</t>
  </si>
  <si>
    <t>Artículo 44 - a</t>
  </si>
  <si>
    <t>¿Solamente el personal habilitado, hace uso del equipo de prueba, instrumentos y herramientas de medición?</t>
  </si>
  <si>
    <t>Artículo 44 - b</t>
  </si>
  <si>
    <t>¿Para el retiro de los instrumentos de medición colocados en líneas de proceso, se toman las precauciones técnicas y de seguridad?</t>
  </si>
  <si>
    <t>Artículo 44 - c</t>
  </si>
  <si>
    <t>¿En la calibración de elementos de medición de temperatura se toman medidas para evitar que el aceite se contamine con agua?</t>
  </si>
  <si>
    <t>Artículo 44 - d</t>
  </si>
  <si>
    <t>¿Se verifica la calibración de los instrumentos, herramientas y equipos?</t>
  </si>
  <si>
    <t>Artículo 44 - e</t>
  </si>
  <si>
    <t>¿Cuando se efectúen pruebas con sistemas de control que operen compuertas, se confirma antes de moverlas que no haya personal trabajando en el área?</t>
  </si>
  <si>
    <t>Artículo 44 - f</t>
  </si>
  <si>
    <t>¿En plantas térmicas al efectuar pruebas en el sistema de control de quemadores; “SIMULACIÓN DE ENCENDIDO DE CALDERAS”, se verifica que todas las líneas de combustible o quemadores y pilotos estén bloqueadas y no haya personal trabajando en los equipos que involucran estas pruebas?</t>
  </si>
  <si>
    <t>Artículo 44 - g</t>
  </si>
  <si>
    <t>¿Todos los equipos a revisar o reparar, son identificados perfectamente por su número y posteriormente en el campo para el desarrollo del trabajo?</t>
  </si>
  <si>
    <t>Artículo 44 - h</t>
  </si>
  <si>
    <t>¿Cuando se termine cualquier trabajo sobre líneas de combustible, vapor, agua o gases de combustión, se confirma que no haya fugas?</t>
  </si>
  <si>
    <t>Artículo 45</t>
  </si>
  <si>
    <t>¿Se cuenta con procedimientos de trabajo seguro para la inspección, operación y mantenimiento de los sistemas de manejo de cenizas volátiles? ¿al igual que los procedimientos para su transporte y disposición final de estos desechos. Teniendo en cuenta aspectos fundamentales tales como reglamentación de trabajo en Alturas, espacios confinados y aquellos que de acuerdo con las normas ambientales son vitales en la preservación y protección del medio ambiente?</t>
  </si>
  <si>
    <t>Artículo 46 - a</t>
  </si>
  <si>
    <t>¿El vertedero cuenta con barandas de protección?</t>
  </si>
  <si>
    <t>Artículo 46 - b</t>
  </si>
  <si>
    <t>¿Existe señalización de los niveles del embalse e iluminación para su lectura cuando se requiera hacerlo en horas nocturnas?</t>
  </si>
  <si>
    <t>Artículo 46 - c</t>
  </si>
  <si>
    <t>¿La revisión de compuertas es realizada por personal capacitado.?</t>
  </si>
  <si>
    <t>Artículo 46 - d</t>
  </si>
  <si>
    <t>¿Existen seguros y candados en las casetas de control de las compuertas.?</t>
  </si>
  <si>
    <t>Artículo 47 - a</t>
  </si>
  <si>
    <t>¿Las embarcaciones, son revisadas verificando se encuentren en buenas condiciones antes de cada uso?</t>
  </si>
  <si>
    <t>Artículo 47 - b</t>
  </si>
  <si>
    <t>¿Las embarcaciones tienen pintada claramente en su costado la capacidad en kilogramos y número máximo de personas que pueden abordarla? Las cuales no se sobrepasan</t>
  </si>
  <si>
    <t>Artículo 47 - c</t>
  </si>
  <si>
    <t>¿Se cuenta con igual número de chaleco salvavidas al de su aforo? y no debe permitirse a ninguna persona estar a bordo, sin el chaleco salvavidas</t>
  </si>
  <si>
    <t>Artículo 47 - d</t>
  </si>
  <si>
    <t>¿Se cuenta a bordo con equipo de comunicaciones y recursos para atender emergencias?</t>
  </si>
  <si>
    <t>Artículo 47 - e</t>
  </si>
  <si>
    <t>¿La operación es realizada por personal autorizado, capacitado y certificado por la autoridad competente.?</t>
  </si>
  <si>
    <t>Artículo 47 - f</t>
  </si>
  <si>
    <t>¿Siempre se inicia su uso con los depósitos de combustible llenos?</t>
  </si>
  <si>
    <t>Artículo 47 - g</t>
  </si>
  <si>
    <t>¿Se tiene prohibido fumar o encender fuego?</t>
  </si>
  <si>
    <t>Artículo 47 - h</t>
  </si>
  <si>
    <t>El operador de la embarcación es responsable de la seguridad del personal a bordo ¿los ocupantes reciben instrucciones específicas?</t>
  </si>
  <si>
    <t>Artículo 47 - i</t>
  </si>
  <si>
    <t>¿Los muelles son adecuados al tipo de embarcaciones?</t>
  </si>
  <si>
    <t>Artículo 48 - a</t>
  </si>
  <si>
    <t>¿En casa de máquinas subterráneas permanecen cerradas las compuertas de inspección del túnel de fuga?</t>
  </si>
  <si>
    <t>Artículo 48 - b</t>
  </si>
  <si>
    <t>¿Se cuenta con un sistema de ventilación permanente y extracción de aire en perfectas condiciones de funcionamiento?</t>
  </si>
  <si>
    <t>Artículo 48 - c</t>
  </si>
  <si>
    <t>¿El alumbrado normal y de emergencia, se encuentran en buenas condiciones?</t>
  </si>
  <si>
    <t>Artículo 48 - d</t>
  </si>
  <si>
    <t>En aquellos sitios con posible acumulación de gases explosivos ¿se utilizan equipos y herramientas aptas para este propósito?</t>
  </si>
  <si>
    <t>Artículo 48 - e</t>
  </si>
  <si>
    <t>¿Los accesos cuentan con señalización que indiquen velocidades y alturas máximas permisibles para los vehículos que transiten por la instalación?</t>
  </si>
  <si>
    <t>Artículo 48 - f</t>
  </si>
  <si>
    <t>¿Los vehículos circulan con las luces encendidas?</t>
  </si>
  <si>
    <t>Artículo 49 - a</t>
  </si>
  <si>
    <t>¿Se corrige de inmediato cualquier fuga en la tubería de presión?</t>
  </si>
  <si>
    <t>Artículo 49 - b</t>
  </si>
  <si>
    <t>Al efectuar maniobras de vaciado o de llenado de una tubería de presión, ¿se aplica invariablemente el instructivo de operación correspondiente? respetando tiempo de maniobra, porcentaje de apertura o cierre, y demás variables críticas para la seguridad de la operación.</t>
  </si>
  <si>
    <t>Artículo 49 - c</t>
  </si>
  <si>
    <t>¿Se tiene expresamente prohibido efectuar trabajos de reparación en tubería cuando se encuentre en servicio?</t>
  </si>
  <si>
    <t>Artículo 49 - d</t>
  </si>
  <si>
    <t>¿Se realizan inspecciones periódicas del estado de la tubería de presión, conducciones y sus auxiliares? a fin de detectar con anticipación desgastes anormales y puntos de falla de los mismos. ¿Se realizan inspecciones periódicamente para verificar el estado de las silletas de soporte de la tubería y la estabilidad del terreno donde se encuentren instaladas?</t>
  </si>
  <si>
    <t>Artículo 49 - e</t>
  </si>
  <si>
    <t>Al abrir un registro acoplado directamente a una tubería de presión, ¿Se asegura de que no hay presión interior y se tiene siempre disponible la herramienta necesaria para efectuar un cierre de emergencia?</t>
  </si>
  <si>
    <t>Artículo 49 - f</t>
  </si>
  <si>
    <t>¿Los canales de conducción, túneles y sifones se mantienen libres de maleza y con señalización para su acceso?</t>
  </si>
  <si>
    <t>Artículo 49 - g - 1</t>
  </si>
  <si>
    <t>¿Previamente a las maniobras de achique siempre se verifica que el equipo de bombeo se encuentre en condiciones confiables? asegurando se cuente con las alimentaciones eléctricas de respaldo y emergencia.</t>
  </si>
  <si>
    <t>Artículo 49 - g - 2</t>
  </si>
  <si>
    <t>Artículo 49 - g - 3</t>
  </si>
  <si>
    <t>¿Se asegura una comunicación confiable al efectuar las maniobras entre las diversas áreas de achique y la sala de control?</t>
  </si>
  <si>
    <t>Artículo 49 - g - 4</t>
  </si>
  <si>
    <t>Siempre que se efectúen maniobras de achique ¿Se cuenta con personal dedicado exclusivamente a operar y vigilar el buen funcionamiento del equipo de bombeo durante las 24 horas del día por el tiempo que dure el achique?</t>
  </si>
  <si>
    <t>Artículo 50 - a</t>
  </si>
  <si>
    <t>¿Se tiene expresamente prohibido cualquier reparación o mantenimiento en el servomotor o alguna de sus líneas de presión de aceite con las unidades en servicio?</t>
  </si>
  <si>
    <t>Artículo 50 - b</t>
  </si>
  <si>
    <t>¿Se reporta y corrige de inmediato cualquier fuga de aceite o comportamiento anormal en el funcionamiento del servomotor o de sus líneas de alimentación de aceite a presión por leve que esta sea?</t>
  </si>
  <si>
    <t>Artículo 50 - c -1</t>
  </si>
  <si>
    <t>Previo al cambio de algún buje o al empacar los muñones de válvulas principales o de By-Pass ¿Se garantiza que la tubería de presión esté fuera de servicio?</t>
  </si>
  <si>
    <t>Artículo 50 - c - 2</t>
  </si>
  <si>
    <t>Artículo 50 - d - 1</t>
  </si>
  <si>
    <t>¿En el caracol y en el recinto de rodete se usa herramienta motorizada neumática?</t>
  </si>
  <si>
    <t>Artículo 50 - d - 2</t>
  </si>
  <si>
    <t>¿En el caracol y en el recinto de rodete se toman todas las precauciones para impedir el ingreso de agua, mientras se realicen trabajos en estas áreas.?</t>
  </si>
  <si>
    <t>Artículo 50 - d - 3</t>
  </si>
  <si>
    <t>¿Antes de efectuar trabajos en el caracol, se toman todas las precauciones para control de los riesgos de caída de altura y espacios confinados?</t>
  </si>
  <si>
    <t>Artículo 50 - d - 4</t>
  </si>
  <si>
    <t>¿Cuando se efectúen trabajos de reparación en el recinto rodete se cuenta con un sistema de extracción de aire?</t>
  </si>
  <si>
    <t>Artículo 51</t>
  </si>
  <si>
    <t>¿Se cuenta con los árboles de carga y los límites de tensión máxima de los conductores y herrajes de los conjuntos de tracción?</t>
  </si>
  <si>
    <t>Artículo 52</t>
  </si>
  <si>
    <t xml:space="preserve">¿Se cuenta con los respectivos proyectos y diseños acordes con las normas aplicables de seguridad y RETIE?. </t>
  </si>
  <si>
    <t>¿Se cuenta con un punto de anclaje que garantice el desarrollo de la labor segura para levantar o hincar la estructura a construir?</t>
  </si>
  <si>
    <t>Artículo 53 - a</t>
  </si>
  <si>
    <t>¿Se realiza apertura de todas las fuentes de energía?</t>
  </si>
  <si>
    <t>¿En los sitios de trabajo donde no es posible verificar físicamente el corte visible, el jefe de trabajo valida y confirma mediante comunicación directa con el responsable de ejecutar las maniobras de operación?</t>
  </si>
  <si>
    <t>Artículo 53 - b</t>
  </si>
  <si>
    <t>¿Se realiza bloqueo o condenación, enclavamiento y señalización de los equipos de corte con los equipos recomendados por el fabricante?</t>
  </si>
  <si>
    <t>Artículo 53 - c</t>
  </si>
  <si>
    <t>¿Se realiza verificación de la ausencia de tensión? Para mejorar la confiabilidad de las medidas de ausencia de tensión en líneas de transmisión, el equipo de medida debe tener un dispositivo autónomo que verifique el correcto funcionamiento del equipo de medida</t>
  </si>
  <si>
    <t>Artículo 53 - d</t>
  </si>
  <si>
    <t>¿Se realiza instalación de sistemas de puesta a tierra y en cortocircuito lo más cerca posible del sitio donde se van a realizar los trabajos? En líneas de transmisión de Alta y Extra Alta Tensión, donde no sea posible hacer el corto circuito entre las fases, en cada sitio de trabajo se pondrá a tierra el conductor donde se está haciendo la intervención, ya sea a la estructura de la torre o al suelo, teniendo presente hacerlo lo más próximo al sitio de trabajo para evitar contactos con potenciales de electricidad estática presentes.</t>
  </si>
  <si>
    <t>¿Los juegos de puesta a tierra de cable y conectores cumplen con las especificaciones de máxima corriente de falla prevista para la Sistemas de Alta Tensión (mínimo 40 kA)?</t>
  </si>
  <si>
    <t>Artículo 54</t>
  </si>
  <si>
    <t>¿Para los trabajos con tensión los trabajadores cuentan con la respectiva habilitación vigente, con plan de trabajo previamente aprobado que describa las actividades paso a paso con las medidas de seguridad necesarias, y con la debida autorización de acuerdo con el procedimiento definido por cada empresa?</t>
  </si>
  <si>
    <t>¿Se cuenta con plan de emergencia y personas responsables para la atención de primeros auxilios?</t>
  </si>
  <si>
    <t>¿Antes de todo trabajo el personal ejecutor realiza una reunión previa y una inspección visual para verificar el estado de las instalaciones, los materiales y herramientas colectivas destinadas a la ejecución del mismo?. se debe Verificar visualmente que no existan descargas parciales, en el aislamiento del equipo a intervenir.</t>
  </si>
  <si>
    <t>¿Para toda intervención de los equipos, de forma previa se realiza coordinación con el personal de protecciones, control y operación de la línea para verificar la seguridad operativa del sistema durante las maniobras y establecer los planes de emergencia operativos?</t>
  </si>
  <si>
    <t>Artículo 55</t>
  </si>
  <si>
    <t>Artículo 55 - a</t>
  </si>
  <si>
    <t>¿Se realizan pruebas de rutina periódicamente para los equipos de trabajo con tensión de acuerdo con los procedimientos normalizados de nivel nacional o internacional?. Las herramientas que presenten valores de prueba fuera de los establecidos por el fabricante deben ser marcadas y retiradas de uso.</t>
  </si>
  <si>
    <t>Artículo 55 - b</t>
  </si>
  <si>
    <t>¿Se conoce la carga máxima mecánica a la tensión, a la flexión y torsión que soportan cada una de las herramientas que se utilicen de acuerdo con las fichas técnicas? nunca se debe sobrepasar esta carga</t>
  </si>
  <si>
    <t>Artículo 55 - c</t>
  </si>
  <si>
    <t>¿Al transportar las herramientas se evita someterlas a cizalladuras o roturas y cubrirlas con lonas u otro material de protección contra golpes y humedad?</t>
  </si>
  <si>
    <t>Artículo 55 - d</t>
  </si>
  <si>
    <t>¿Se colocan siempre las herramientas sobre una lona impermeable, nunca directamente en el suelo o sobre elementos cortantes?</t>
  </si>
  <si>
    <t>Artículo 55 - e</t>
  </si>
  <si>
    <t>¿Para ejecutar trabajos en equipos energizados, se cuenta previamente con la consignación, teniendo bloqueados los recierres en los extremos de alimentación de los circuitos a intervenir y de los que cruzan por debajo del vano o vanos intervenidos?</t>
  </si>
  <si>
    <t>Artículo 55 - f</t>
  </si>
  <si>
    <t>¿El responsable de la operación de la subestación, informa al jefe de trabajo sobre cualquier evento que ocurra en la subestación, para que el jefe de trabajo tome las decisiones pertinentes?</t>
  </si>
  <si>
    <t>Artículo 55 - g</t>
  </si>
  <si>
    <t>Artículo 55 - h</t>
  </si>
  <si>
    <t>¿Para trasladar herramientas o materiales entre la estructura y el suelo se usa siempre una cuerda de servicio y polea de maniobra dieléctricas?</t>
  </si>
  <si>
    <t>Artículo 55 - i</t>
  </si>
  <si>
    <t>¿Los tableros y equipos de patio que hacen parte del circuito a intervenir, se identifican y señalizan con un rotulo de “No Operar”?</t>
  </si>
  <si>
    <t>Artículo 55 - j</t>
  </si>
  <si>
    <t>¿Se realiza medición constante de la humedad relativa y corriente de fuga de los equipos aislados (Plataforma, andamio, escalera o helicóptero).?</t>
  </si>
  <si>
    <t>Artículo 56 - b</t>
  </si>
  <si>
    <t>¿Para toda carga que requiera estar suspendida y sometida a tracción mecánica se conoce su peso y volumen? con el objetivo de determinar los equipos y herramientas para su manipulación</t>
  </si>
  <si>
    <t>Artículo 56-c</t>
  </si>
  <si>
    <t xml:space="preserve">¿Todos los equipos utilizados para manipular una carga tienen un factor de seguridad de por lo menos 2.5 veces el peso de la carga suspendida? </t>
  </si>
  <si>
    <t>¿Al momento de utilizar equipos para manipular cargas se hace una inspección con el fin de verificar su estado y condición operativa?</t>
  </si>
  <si>
    <t>Artículo 56-d</t>
  </si>
  <si>
    <t>¿Para pasar herramienta o materiales entre diferentes niveles, se utilizan recipientes sujetados a la estructura para evitar la caída de este y el material que contenga?</t>
  </si>
  <si>
    <t>Artículo 56 - e</t>
  </si>
  <si>
    <t xml:space="preserve">¿Los elementos utilizados para el izaje de cargas, son independientes de los elementos utilizados para la protección de caída de alturas de las personas?
</t>
  </si>
  <si>
    <t>Artículo 57 - a</t>
  </si>
  <si>
    <t>¿En la planeación de los trabajos de montaje y reparación de conductores aéreos se tienen en cuenta las características técnicas del conductor a intervenir, las cargas a las cuales está sometido cada conductor, la capacidad de carga y nivel de seguridad del tipo de estructura a intervenir al igual que las adyacentes?</t>
  </si>
  <si>
    <t>Artículo 57 - b</t>
  </si>
  <si>
    <t xml:space="preserve">¿Siempre que sea posible, se tiene como primera opción, la posibilidad de ejecutar el trabajo en línea desenergizada y con los conductores en el piso? </t>
  </si>
  <si>
    <t>Artículo 57 - c</t>
  </si>
  <si>
    <t>Se planea con la debida anticipación y se establecen los procedimientos para el ascenso, descenso y desplazamiento sobre el conductor o conductores y estructuras, al igual que el esquema de protección con línea de vida para el personal habilitado buscando puntos de anclaje diferentes al conductor intervenido, y la selección detallada de los equipos y dispositivos necesarios, así como los criterios y procedimientos para cada etapa del trabajo, las condiciones para un eventual rescate de algún personal habilitado.?</t>
  </si>
  <si>
    <t>Artículo 58</t>
  </si>
  <si>
    <t>¿La empresa dispone de un procedimiento normalizado para la atención de emergencias donde expliquen los aspectos técnicos, se identifiquen los riesgos y las medidas de prevención y protección para las personas y el medio ambiente?</t>
  </si>
  <si>
    <t>¿Para los sitios de trabajo donde se han presentado atentados terroristas y se presume existencia de minas antipersona, se solicita a la fuerza pública, que luego de hacer la revisión protocolaria, entregue la zona de trabajo delimitada e imparta las indicaciones para prevenir cualquier accidente con explosivos?</t>
  </si>
  <si>
    <t>Artículo 59</t>
  </si>
  <si>
    <t>¿Los trabajadores que ejecuten actividades de pintura o recubrimiento de estructuras y equipos se protegen con elementos de protección personal acordes con los riesgos generados por los componentes químicos de las pinturas, solventes y anticorrosivos utilizados?</t>
  </si>
  <si>
    <t>¿Se tiene disponible en el sitio de trabajo la ficha técnica de seguridad para atención de accidentes de trabajo y posibles derrames? Estas fichas harán parte del plan de emergencia de esta actividad</t>
  </si>
  <si>
    <t>Artículo 60</t>
  </si>
  <si>
    <t>¿Para los trabajos de obras civiles y obras de protección de estructuras en líneas de transmisión, se procede de acuerdo con lo estipulado en las normas vigentes de seguridad para la ejecución de obras de construcción civil y espacios confinados? vigilar el cumplimiento de lo estipulado en la legislación vigente en materia de gestión ambiental en cuanto al uso y aprovechamiento de los recursos naturales</t>
  </si>
  <si>
    <t>Artículo 61 - a</t>
  </si>
  <si>
    <t>¿El jefe de trabajo, supervisor o coordinador informa a la central, subestación o centro de control correspondiente los trabajos a realizar, asegurando las comunicaciones en doble vía, repitiendo el mensaje?</t>
  </si>
  <si>
    <t>Artículo 61 - b</t>
  </si>
  <si>
    <t>¿Se solicita la normalización del circuito, esperando la confirmación y verificando su funcionamiento?</t>
  </si>
  <si>
    <t>Artículo 62</t>
  </si>
  <si>
    <t>Artículo 63</t>
  </si>
  <si>
    <t>¿Se cuenta como mínimo con dos trabajadores laborando en conjunto que cumplan con la normatividad vigente para trabajos en altura? (Resolución 1409 de 1012 o aquellas modifique, adicione o sustituya)</t>
  </si>
  <si>
    <t>Artículo 64</t>
  </si>
  <si>
    <t>Artículo 65</t>
  </si>
  <si>
    <t>¿Se cortocircuitan las terminales y se conecta a tierra la carcasa del capacitor antes de iniciar los trabajos? Los condensadores no se deben abrir con tensión</t>
  </si>
  <si>
    <t>Artículo 66</t>
  </si>
  <si>
    <t>¿Cuando se va a trabajar un circuito donde se desenergizó a través de la apertura de un reconectador, se asegura que se encuentre bloqueado el cierre remoto y el local.?</t>
  </si>
  <si>
    <t>Artículo 67</t>
  </si>
  <si>
    <t>¿Cuando se instalen equipos de seccionamiento que no tengan corte visible se garantiza que estos dispongan de mecanismo de corte efectivo para evitar recierres por parte del centro de control?</t>
  </si>
  <si>
    <t>Artículo 68</t>
  </si>
  <si>
    <t>¿Los cortacircuitos, seccionadores o cuchillas se operan sin carga?, para lo cual se debe solicitar la desenergización del circuito. Si esto no es posible se deben operar utilizando un equipo que extinga el arco.</t>
  </si>
  <si>
    <t>Artículo 69</t>
  </si>
  <si>
    <t>¿La empresa tiene documentado sus procedimientos para el montaje o desmontaje de los elementos del sistema? en los cuales aparecerá de manera secuencial el orden de conexiones o desconexiones y las acciones a seguir en caso de identificar una condición de riesgo.</t>
  </si>
  <si>
    <t>Artículo 70 - a</t>
  </si>
  <si>
    <t>¿Se cuenta con  ayudas mecánicas para el tendido y tensionado de conductores?</t>
  </si>
  <si>
    <t>Artículo 70 - b</t>
  </si>
  <si>
    <t>¿Se mantiene visibilidad del área y comunicaciones adecuadas para el tendido y tensionado de conductores?</t>
  </si>
  <si>
    <t>Artículo 70 - c</t>
  </si>
  <si>
    <t>Se verifica la clase de conductor, calibre, peso, resistencia mecánica y longitud del vano o tramos a tensionar para minimizar el riesgo de ruptura?</t>
  </si>
  <si>
    <t>Artículo 70 - d</t>
  </si>
  <si>
    <t>¿Se conectan a tierra los conductores desnudos a tensionar?</t>
  </si>
  <si>
    <t>Artículo 70 - e</t>
  </si>
  <si>
    <t>¿Se Verifica la tensión de ruptura máxima del conductor en su tensionado?</t>
  </si>
  <si>
    <t>Artículo 71 - a</t>
  </si>
  <si>
    <t>¿Todo fusible es reemplazado por otro de igual capacidad? jamás usar alambres o reforzar un fusible y nunca instalarlo sin su portafusible correspondiente</t>
  </si>
  <si>
    <t>Artículo 71 - b</t>
  </si>
  <si>
    <t>¿Se revisa el estado de los fusibles de las demás protecciones que estén en el mismo punto de la falla, así estas no se hayan accionado?</t>
  </si>
  <si>
    <t>Artículo 71 - c</t>
  </si>
  <si>
    <t>¿Se busca y elimina, en la red o en el transformador, la falla que ocasionó la fusión de la protección?</t>
  </si>
  <si>
    <t>Artículo 72 - a</t>
  </si>
  <si>
    <t>Artículo 72 - b</t>
  </si>
  <si>
    <t>Artículo 72 - c</t>
  </si>
  <si>
    <t>El personal de Trabajo con tensión recibe una reinducción y actualización anual, específica para esta labor, el total de horas de capacitación debe ser superior a 40 horas.</t>
  </si>
  <si>
    <t>Artículo 72 - d</t>
  </si>
  <si>
    <t>¿Se practican exámenes médicos de ingreso y periódico anual para constatar el estado de salud, condición física y mental y su aptitud para este tipo de trabajo? No son aptos para el oficio personas con marcapasos, prótesis u órtesis metálicas</t>
  </si>
  <si>
    <t>Artículo 73 - a</t>
  </si>
  <si>
    <t>¿Cualquier variación en lo planeado se explica por el jefe de trabajos de forma detallada al personal, verificando que haya sido entendida?</t>
  </si>
  <si>
    <t>Artículo 73 - b</t>
  </si>
  <si>
    <t>¿Cada integrante del grupo tiene la responsabilidad del cumplimiento de todas las normas de seguridad, procedimientos, técnicas y métodos de trabajo?</t>
  </si>
  <si>
    <t>Artículo 73 - c</t>
  </si>
  <si>
    <t>¿El cubrimiento de las redes se instala progresivamente iniciando por la zona más próxima a las personas habilitadas, sin dejar en su recorrido puntos descubiertos. De igual forma, las cubiertas se retiran a medida que se vaya “saliendo” de la zona de trabajo?</t>
  </si>
  <si>
    <t>Artículo 73 - d</t>
  </si>
  <si>
    <t>Artículo 73 - e</t>
  </si>
  <si>
    <t>¿En los casos de circuitos en postes o estructuras de madera, se tiene en cuenta que todas las partes de madera se encuentran potencialmente a tierra?</t>
  </si>
  <si>
    <t>Artículo 73 - f</t>
  </si>
  <si>
    <t>¿Se prioriza la seguridad por la rapidez en la ejecución de trabajos en labores de mantenimiento de redes en TCT?</t>
  </si>
  <si>
    <t>Artículo 73 - g</t>
  </si>
  <si>
    <t>¿Se tiene prohibido trabajar con la técnica de TCT en un circuito que presente falla?</t>
  </si>
  <si>
    <t>Artículo 73 - h</t>
  </si>
  <si>
    <t>¿Cuando por circunstancias especiales, diferentes a fallas, se produzca la desenergización del circuito, el personal de TCT continua realizando trabajos en dicha red, asumiendo que el circuito esta energizado y aplicará todas las técnicas de TCT?</t>
  </si>
  <si>
    <t>Artículo 73 - i</t>
  </si>
  <si>
    <t>¿Los trabajos con tensión en media tensión y superiores solo se realizan cuando las condiciones de luz natural lo permitan y no esté lloviendo?</t>
  </si>
  <si>
    <t>Artículo 74</t>
  </si>
  <si>
    <t>¿El mantenimiento en líneas energizadas se realizará por un grupo de trabajo el cual debe estar conformado como mínimo a contacto: 3 operarios técnicos y un jefe de grupo o supervisor?</t>
  </si>
  <si>
    <t>¿El mantenimiento en líneas energizadas se realizará por un grupo de trabajo el cual debe estar conformado como mínimo a distancia: 4 operarios técnicos y un jefe de grupo o supervisor?</t>
  </si>
  <si>
    <t>Artículo 75 - a</t>
  </si>
  <si>
    <t>¿La prueba de balasto de las luminarias se hace mediante cortocircuito en los terminales de la roseta?</t>
  </si>
  <si>
    <t>Artículo 75 - b</t>
  </si>
  <si>
    <t>¿En trabajos con alumbrado publico al realizar trabajos con tensión, se siguen los procedimientos establecidos para TCT?</t>
  </si>
  <si>
    <t>Artículo 75 - c</t>
  </si>
  <si>
    <t>¿Si la luminaria está desenergizada se asegurar que el condensador se encuentre descargado?</t>
  </si>
  <si>
    <t>Artículo 75 - d</t>
  </si>
  <si>
    <t>¿Se verifica que la luminaria no esté energizada a causa de inducción por campo electromagnético?</t>
  </si>
  <si>
    <t>Artículo 75 - e</t>
  </si>
  <si>
    <t>¿Para el montaje y desmonte de luminarias se garantiza el cumplimiento de las distancias mínimas de seguridad, considerando la longitud del brazo?</t>
  </si>
  <si>
    <t>Artículo 76 - a</t>
  </si>
  <si>
    <t>¿En instalaciones subterráneas se realiza señalización y demarcación del área de trabajo?</t>
  </si>
  <si>
    <t>Artículo 76 - b</t>
  </si>
  <si>
    <t>¿En instalaciones subterráneas se abre cámara para permitir escape de gases y ventilación natural?</t>
  </si>
  <si>
    <t>Artículo 76 - c</t>
  </si>
  <si>
    <t>¿Se garantiza que el equipo de trabajo cuente con un sistema de monitoreo de gases durante todo el tiempo de permanencia en la cámara subterránea?</t>
  </si>
  <si>
    <t>Artículo 76 - d</t>
  </si>
  <si>
    <t>Artículo 76 - e</t>
  </si>
  <si>
    <t>¿Se inspeccionan las condiciones detectando deficiencias en la estructura y otros peligros, con el fin de implementar las medidas que deben adoptarse para evitar accidentes?</t>
  </si>
  <si>
    <t>Artículo 76 - f</t>
  </si>
  <si>
    <t>¿En instalaciones subterráneas se drena cuando exista acumulación de agua?</t>
  </si>
  <si>
    <t>Artículo 76 - g</t>
  </si>
  <si>
    <t>¿Se planea la posible acción de rescate que resulte necesaria, de acuerdo a los riesgos existentes y a las características de la instalación. Se debe garantiza que el equipo de trabajo cuente con un procedimiento de rescate en situaciones de emergencia?</t>
  </si>
  <si>
    <t>Artículo 76 - h</t>
  </si>
  <si>
    <t>¿Previo al ingreso a una cámara subterránea el trabajador tiene un sistema de protección contra caída que permita su rescate desde el exterior en caso de accidente?</t>
  </si>
  <si>
    <t>Artículo 76 - i</t>
  </si>
  <si>
    <t>¿Para ingresar a la cámara de inspección o subestación de sótano se utilizan escaleras de material no conductor que apoye firme y completamente en el piso? No deben utilizarse los cables o estructuras como peldaños para bajar</t>
  </si>
  <si>
    <t>Artículo 76 - j</t>
  </si>
  <si>
    <t>¿Antes de iniciar cualquier trabajo, se identifican todos los circuitos, trayectorias, circuitos de alimentación, transformadores y medios de seccionamiento que involucren los trabajos a desarrollar de acuerdo al diagrama unifilar actualizado?</t>
  </si>
  <si>
    <t>Artículo 77 - a</t>
  </si>
  <si>
    <t>¿Los cables de media y de baja tensión, transformadores y equipos asociados se encuentran debidamente identificados de acuerdo a normas vigentes? debiendo coincidir con lo señalado en los planos de las instalaciones</t>
  </si>
  <si>
    <t>Artículo 77 - b</t>
  </si>
  <si>
    <t>¿Cuando se encuentre una instalación que no cumpla con el requisito se reporta de inmediato a la dependencia correspondiente? y no se debe realizar ningún trabajo hasta tanto sean debidamente identificados los circuitos involucrados</t>
  </si>
  <si>
    <t>Artículo 77 - c</t>
  </si>
  <si>
    <t>¿Antes de realizar cualquier trabajo de pruebas u operación de equipos de distribución subterráneos se verifica que se encuentren sin tensión? verificación de ausencia de tensión y puestas a tierra en todos los extremos del cable</t>
  </si>
  <si>
    <t>Artículo 77 - d</t>
  </si>
  <si>
    <t>¿Cualquier corte de cable subterráneo, se realiza con los equipos especializados para tal fin? los cuales permitan realizar el primer corte del mismo desde el exterior de las cámaras; una vez realizado el primer corte se pueden utilizar las herramientas convencionales de corte</t>
  </si>
  <si>
    <t xml:space="preserve">Artículo 77 - e - 1 </t>
  </si>
  <si>
    <t>¿Para la realización de pruebas de resistencia de aislamiento antes de aplicar tensión, se chequea ausencia de tensión se verifica que los extremos estén aislados y no tengan equipos conectados? deben protegerse los extremos del cable bajo prueba, utilizando barreras y avisos preventivos y evitar el acceso de personas ajenas a las pruebas que se realizan</t>
  </si>
  <si>
    <t>Artículo 77 - e - 2</t>
  </si>
  <si>
    <t>¿El personal que participa en las pruebas debe respetar la distancias mínimas de seguridad respecto a circuitos energizados?</t>
  </si>
  <si>
    <t>Artículo 77 - e - 3</t>
  </si>
  <si>
    <t>¿Al término de la prueba se apaga el equipo y antes de retirar las conexiones, se descarga a tierra el cable con una pértiga aislada?</t>
  </si>
  <si>
    <t>Artículo 77 - f</t>
  </si>
  <si>
    <t>Cuando por condiciones de falla u otro motivo se deje fuera de servicio un transformador, equipo de seccionamiento, o cable de media o baja tensión, ¿Se colocan avisos preventivos que adviertan claramente las condiciones existentes?</t>
  </si>
  <si>
    <t>Artículo 77 - g</t>
  </si>
  <si>
    <t>¿Antes de reparar un neutro abierto se abre el circuito, utilizando los elementos y los medios de protección necesarios para controlar los riesgos presentes y potenciales?</t>
  </si>
  <si>
    <t>Artículo 77 - h</t>
  </si>
  <si>
    <t xml:space="preserve">¿Antes de mover cables de media tensión se debe verifica visualmente su estado y se mueven con un elemento aislante? </t>
  </si>
  <si>
    <t>Cuando se deje en consignación un cable de media tensión, ¿Siempre se aterriza en sus dos extremos, utilizando las terminales adecuadas, y colocando los avisos preventivos correspondientes?</t>
  </si>
  <si>
    <t>Artículo 77 - i</t>
  </si>
  <si>
    <t>Todos los equipos de seccionamiento normalmente abiertos, en las transiciones de las redes subterráneas, ¿Se consideran como energizados a su tensión nominal, y se  instalan en ellos avisos preventivos permanentes, que señalen esta condición?</t>
  </si>
  <si>
    <t>Artículo 78</t>
  </si>
  <si>
    <t>Antes de energizar una instalación subterránea, ¿Se comprueba que no hay partes energizadas expuestas? Para la entrada en operación de acometidas y equipos en media tensión, deben haberse efectuado las correspondientes pruebas de aislamiento</t>
  </si>
  <si>
    <t>Artículo 79 - a</t>
  </si>
  <si>
    <t>Cuando se esté trabajando en subestaciones tipo pedestal y para reparación o cambio de acometidas ¿Toda maniobra se realiza con pértiga aislada?</t>
  </si>
  <si>
    <t>Artículo 79 - b</t>
  </si>
  <si>
    <t>¿Antes de intentar cualquier operación del seccionador de un transformador, se analiza cuidadosamente su condición de operación? verificando la posición del indicador de la perilla, para evitar operaciones equivocadas</t>
  </si>
  <si>
    <t>Artículo 79 - c</t>
  </si>
  <si>
    <t>Antes de operar un conector tipo codo, ¿Se verifica cuidadosamente si es del tipo para operar con carga o para operación sin carga a fin de proceder en consecuencia?</t>
  </si>
  <si>
    <t>Artículo 79 - d</t>
  </si>
  <si>
    <t>Los conectores tipo codo, una vez desconectados ¿se apoyan en una terminal auxiliar aislada (parqueo)? Nunca en el suelo u otros medios improvisados</t>
  </si>
  <si>
    <t>Artículo 79 - e</t>
  </si>
  <si>
    <t>¿Al término de una maniobra no se dejan descubiertos los bornes o terminales de media tensión, sino que deben cubrirse con tapones aislados?</t>
  </si>
  <si>
    <t>Artículo 79 - f</t>
  </si>
  <si>
    <t>¿Se tiene prohibido el uso de seccionadores o conectores tipo codo de los transformadores para cerrar circuitos en los que exista una falla en media tensión?</t>
  </si>
  <si>
    <t>Artículo 79 - g</t>
  </si>
  <si>
    <t>Antes de sacar el fusible tipo bayoneta, ¿Se libera la posible presión interna del transformador operando su correspondiente válvula de alivio?</t>
  </si>
  <si>
    <t>Artículo 79 - h</t>
  </si>
  <si>
    <t>¿Los cambios de “taps” se realizan con el transformador desenergizado y siguiendo los procedimientos de seguridad descritos para cambios de “taps” en transformadores instalados en red aérea?</t>
  </si>
  <si>
    <t>Artículo 79 - i</t>
  </si>
  <si>
    <t>Artículo 79 - j</t>
  </si>
  <si>
    <t>¿En maniobras con conectores múltiples las mangas o aislamiento de partes que sufran daño se reponen y no se reparan con cinta aislante?</t>
  </si>
  <si>
    <t>Artículo 80 - a</t>
  </si>
  <si>
    <t>¿Al iniciar el trabajo se verifica el funcionamiento correcto del equipo de prueba de concordancia de fase?</t>
  </si>
  <si>
    <t>Artículo 80 - b</t>
  </si>
  <si>
    <t>¿Se verifica presencia de tensión en los extremos?</t>
  </si>
  <si>
    <t>Artículo 80 - c</t>
  </si>
  <si>
    <t>¿Se verifican circuitos a intervenir en concordancia de fase?</t>
  </si>
  <si>
    <t>Artículo 80 - d</t>
  </si>
  <si>
    <t>Artículo 81</t>
  </si>
  <si>
    <t>Artículo 82</t>
  </si>
  <si>
    <t>Artículo 83</t>
  </si>
  <si>
    <t>Artículo 84</t>
  </si>
  <si>
    <t>Artículo 85</t>
  </si>
  <si>
    <t>Artículo 86</t>
  </si>
  <si>
    <t>Artículo 87</t>
  </si>
  <si>
    <t>Artículo 88</t>
  </si>
  <si>
    <t>Artículo 89</t>
  </si>
  <si>
    <t>Artículo 90</t>
  </si>
  <si>
    <t>Artículo 91</t>
  </si>
  <si>
    <t>DEFINICIÓN</t>
  </si>
  <si>
    <t>Centro de trabajo al que le aplican la línea basal:</t>
  </si>
  <si>
    <t>No aplica</t>
  </si>
  <si>
    <t>No cumple</t>
  </si>
  <si>
    <t>Cumple parcialmente</t>
  </si>
  <si>
    <t>Cumple totalmente</t>
  </si>
  <si>
    <t>Valor</t>
  </si>
  <si>
    <t>Nombre</t>
  </si>
  <si>
    <t>Calificación</t>
  </si>
  <si>
    <t>Puntaje</t>
  </si>
  <si>
    <t>Porcentaje de implementación</t>
  </si>
  <si>
    <t>RESUMEN DE LA LÍNEA BASAL RESOLUCIÓN 5018 DE 2019</t>
  </si>
  <si>
    <t>Centrales térmicas</t>
  </si>
  <si>
    <t>Centrales hidroeléctricas</t>
  </si>
  <si>
    <t>Comercialización</t>
  </si>
  <si>
    <t>Puntaje posible</t>
  </si>
  <si>
    <t>Puntaje obtenido</t>
  </si>
  <si>
    <t>Porcentaje ponderado de implementación</t>
  </si>
  <si>
    <t>Elemento a evaluar</t>
  </si>
  <si>
    <t>Porcentaje de calificación real</t>
  </si>
  <si>
    <t>Resultado para cada ítem evaluado</t>
  </si>
  <si>
    <t>Porcentaje total cumplimiento Resol. 5018 de 2019</t>
  </si>
  <si>
    <t>La organización evalúa los aspectos de seguridad en la inclusión de las nuevas técnicas o tecnologías de operación ?</t>
  </si>
  <si>
    <t>La organización en las actividades de comercialización cuenta con procedimientos documentados, divulgados y actualizados cada vez que se presenten cambios en procesos, tecnologías, riesgos?</t>
  </si>
  <si>
    <t>La organización para las actividades en las que se manipulen o se trabaje en cercanía de circuitos de  media y baja tensión utiliza elementos de protección personal de acuerdo con el nivel de riesgo por contacto directo  o indirecto y arco eléctrico.?</t>
  </si>
  <si>
    <t>La organización tiene establecido para las actividades que requieran el acceso, contacto, apertura o cierre de circuitos de media tensión, la programación y consignación de elementos de la red con el centro de control?</t>
  </si>
  <si>
    <t>La  instalación  o  retiro de medidores se realiza desconectando previamente Ia carga y usando herramienta aislada, guantes aislados según nivel de tensión y protección para arco eléctrico?. Los conductores eléctricos desconectados se encuentran sin su correspondiente aislamiento?</t>
  </si>
  <si>
    <t>La organización contempla para la instalación de medidores con tensión en la acometida que, primero se conecte a tierra el medidor, posteriormente el neutro y finalmente las fases, una a una, según su marcación?</t>
  </si>
  <si>
    <t>La organización tiene establecido para el retiro de medidores con tensión en la acometida la desconexión de las fases, una a una según su marcación, luego el neutro y finalmente la puesta a tierra?</t>
  </si>
  <si>
    <t>La organización tiene establecido para el retiro de medidor el aislamiento y señalización de los conductores de fase, neutro y tierra, para facilitar su debida identificación en maniobras posteriores.?</t>
  </si>
  <si>
    <t>Para las actividades de  corte,  suspensión  reconexión  y reinstalación se contempla en procedimiento  de señalización y demarcación de las áreas de trabajo con el fin de aislar la zona de personal ajeno al grupo de trabajo.?</t>
  </si>
  <si>
    <t>La organización tiene establecido en el procedimiento de señalización que, toda área de trabajo se  señalice y delimite sin ningún tipo de excepción.</t>
  </si>
  <si>
    <t>La organización establece el procedimiento para realizar la verificación de tensión y corriente al momento de realizar Ia reconexión o Ia reinstalación.</t>
  </si>
  <si>
    <t>La organización tiene definido para el proceso de reconexión o reinstalación del servicio de energía la actividad de conectar primero el neutro y luego las fases, una a una según su marcación.</t>
  </si>
  <si>
    <t xml:space="preserve">Para el proceso de toma de lectura de medidores el personal ejecutante cuenta con formación y/o capacitación en riesgo eléctrico y en identificación y control de los riesgos adicionales que la ejecución de la tarea le demande. El personal se encuentra incluido en los programas de formación especifica en riesgo eléctrico por parte de la empresa.
</t>
  </si>
  <si>
    <t>El personal que realiza actividades de lectura de medidores cuenta con formación en distancias de seguridad de acuerdo con el nivel de tensión.?</t>
  </si>
  <si>
    <t>La organización tiene establecido el uso de herramientas con el aislamiento y dando cumplimiento a la normatividad nacional o internacional vigente (o aquellas que Ia modifique, adicione o sustituya) y los equipos acordes al nivel de tensión que se utilicen?</t>
  </si>
  <si>
    <t>La organización establece para las actividades relacionadas con medición, el diligenciamiento del formato preoperacional en el que se incluyan la identificación de peligros y el establecimiento de controles  antes de Ia ejecución de toda actividad?</t>
  </si>
  <si>
    <t>Se realiza el uso adecuado de los elementos de protección personal y elementos de protección contra caídas requeridos de acuerdo al nivel de tensión, y riesgo por arco eléctrico?</t>
  </si>
  <si>
    <t>Las cajas o encerramientos metálicos en los que no se puede evidenciar la puesta a tierra, se considerara como energizadas a la tensión mas alta de los circuitos que contengan. ¿Se realiza la validación?</t>
  </si>
  <si>
    <t>¿Todo operador de red establece, divulgar y controlar el cumplimiento de los requisitos técnicos y de seguridad que deben tener los terceros (empresas o personas) que  interactúen con sus redes o infraestructura.?</t>
  </si>
  <si>
    <t>¿Cuando se ejecuten trabajos sobre circuitos que vayan paralelos o se crucen con otros de mayor o menor tensión y no se garanticen las distancias de seguridad establecidas , se desenergizan los circuitos involucrados o se aíslan eléctricamente por medio de cubiertas según el nivel de tensión? Este trabajo debe ser realizado por Grupo de Trabajos con tensión. T.C.T.</t>
  </si>
  <si>
    <t>¿Se tiene definido el tiempo de espera por la empresa, de acuerdo con las características de los capacitores posterior a la desconexión de los mismos?</t>
  </si>
  <si>
    <t xml:space="preserve">¿El operario técnico de trabajos con tensión cumple con el perfil requerido?
 Experiencia mínima de 2 años en mantenimiento o construcción de redes de media tensión sin tensión
La formación para el aspirante debe estar claramente definida en el proceso de habilitación. En el que además deberá estipularse un período de tiempo de trabajo con acompañamiento activo por parte de personal habilitado para TCT no inferior a 120 horas.
</t>
  </si>
  <si>
    <t>¿Se establece un método para que el trabajador pase de conformar un equipo de Trabajo con tensión a realizar trabajos en línea desenergizada?
Reinducción previa que permita el afianzamiento a los procedimientos y adaptación al trabajo en línea desenergizada; lo anterior debe ser avalado por la empresa</t>
  </si>
  <si>
    <t>¿El trabajo con tensión se realiza tal y como fue planeado?</t>
  </si>
  <si>
    <t>¿Se mantienen los equipos y conductores de otras fases, que puedan ser alcanzados en forma accidental o voluntaria, completamente cubiertos? ¿Se asegura que el trabajo únicamente se realiza en una sola fase?</t>
  </si>
  <si>
    <t>¿Antes de entrar a una cámara subterránea, su atmósfera interior es evaluada para determinar si existen gases tóxicos, combustibles o inflamables, con niveles por encima de los límites permisibles y la concentración de oxígeno mínima? Si la concentración del gas es superior al valor límite permisible ¿Se implementa un sistema de ventilación forzada continua hasta llegar al nivel permitido? Mientras la concentración de oxígeno esté por fuera de los valores límites permisibles, no se efectuará el trabajo. En todo caso se deberá aplicar la normatividad legal vigente</t>
  </si>
  <si>
    <t>Al seccionar una falla en un tramo de conductor secundario, ¿Inmediatamente se aísla la parte energizada que fue expuesta?</t>
  </si>
  <si>
    <t>¿Todo cambio en la configuración de los circuitos, derivado de maniobras de concordancia de fase o transferencia de cargas, o por cualquier otro motivo, se registra oportunamente en los centros de control, manteniéndose los planos correspondientes actualizados y se comunica al personal los cambios adoptados?</t>
  </si>
  <si>
    <t>¿Para realizar trabajos con tensión en transmisión se utilizan solamente las herramientas,  equipos diseñados y aprobados para el uso específico? además tener especial cuidado en el cumplimiento de los siguientes aspectos</t>
  </si>
  <si>
    <t>¿Se asegura el cumplimiento de las distancias mínimas de seguridad durante la ejecución de los trabajos? no disminuir las distancias de seguridad de acuerdo a la tensión nominal fase. En caso de tener duda de la distancia mínima, utilizar las pértigas aislantes para asegurar que se cumple con la distancia mínima</t>
  </si>
  <si>
    <t>¿En caso de realizar trabajos en línea energizada se elabora un procedimiento que incluya el análisis de estabilidad mecánica de la estructura y los conductores que serán sometidos a cargas y que proteja contra caídas al personal habilitado?</t>
  </si>
  <si>
    <t>¿Para la apertura de los drenes de achique y alivio se tiene identificada la capacidad de bombeo instalada, ni a la de los cárcamos la cual se respeta?</t>
  </si>
  <si>
    <t>¿Toda inspección o trabajo de mantenimiento en los muñones de la válvula principal se efectúa con máquina parada y válvula cerrada?</t>
  </si>
  <si>
    <t>La organización cuenta con personal ejecutante de trabajos con tensión, debidamente calificados (formados, capacitados y entrenados) y cuentan con la autorización (habilitación) de la empresa, previo cumplimiento del perfil ocupacional. Adicionalmente, se debe tener vigente su certificación laboral por competencias para esa labor, conforme a la legislación para el efecto.?</t>
  </si>
  <si>
    <t>La organización garantiza que las herramientas y equipos utilizados para realizar trabajos con tensión ofrecen la seguridad requerida para la labor, se cuenta con fichas técnicas, Pruebas dieléctricas, Programa de mantenimiento, cronograma de inspección  y cuentan con hoja de vida?</t>
  </si>
  <si>
    <t>La organización deja equipos eléctricos en consignación y se aplica el procedimiento de control de energías peligrosas?</t>
  </si>
  <si>
    <t>La organización cuenta con Plan (permiso, descargo, autorización, incidencia) de  trabajo para intervenciones eléctricas y se realiza  diagnóstico previo para determinar actividades, tiempo y método de trabajo?</t>
  </si>
  <si>
    <t>Se realizan las actividades previas a la operación como la reunión pre operativa, se identifican peligros y se realiza el diligenciamiento de los registros por parte del líder ?</t>
  </si>
  <si>
    <t>Los equipos se encuentran plenamente identificados y rotulados para realizar cualquier operación y/o mantenimiento.?</t>
  </si>
  <si>
    <t>El  personal asignado al desarrollo de actividades complementarias en subestaciones eléctricas,   tales   como   la   vigilancia,   obras   civiles, mantenimiento,  aseo,  entre otras,  recibe acción sobre los peligros y riesgos eléctricos a los cuales estará expuesto en esa instalación, y cuenta con la autorización para su ingreso y la necesidad de la supervisión de los trabajos, si lo requiere, por parte del responsable de validar  el cumplimiento de los demás requisitos legales y contractuales.?</t>
  </si>
  <si>
    <t>Al trabajar en barrajes des energizados donde se cuente con transformadores de potencial o dispositivos de potencial, se retiraran los fusibles del lado de baja tensión para evitar un posible retorno. ?</t>
  </si>
  <si>
    <t xml:space="preserve">Al utilizar plantas de emergencia se cuenta con procedimientos de mantenimiento, pruebas y ensayos teniendo en cuenta las recomendaciones del fabricante, tipo de planta de emergencia y su ubicación.? </t>
  </si>
  <si>
    <t xml:space="preserve">Los cuartos de baterías se encuentran  Estar ventilados; y las instalaciones eléctricas cuentan con accesorios a prueba de explosión? . </t>
  </si>
  <si>
    <t>Se instalan señales de prohibido fumar y se prohíbe esta práctica a  fin de producir arcos eléctricos o activar fuentes de ignición.?</t>
  </si>
  <si>
    <t>Se tienen instaladas duchas lava ojos. En aquellos casos en que no sea posible su instalación y funcionamiento se cuenta con sistemas portátiles para tal fin.?</t>
  </si>
  <si>
    <t>El banco de baterías cuenta con un sistema de seccionamiento principal y las  baterías están fijadas, de manera que se evite la vibración del  conjunto y el derrame de acido (donde aplique).  Los soportes metálicos están conectados al sistema de puesta a tierra.?</t>
  </si>
  <si>
    <t>Para el retiro de los instrumentos de medición colocados en líneas de proceso, se toman las precauciones técnicas y de seguridad.?</t>
  </si>
  <si>
    <t>En las  actividades en las que se intervengan sistemas de protecciones, actividades de mantenimiento  o en los circuitos de control y protección se realizan utilizando herramienta aislada eléctricamente que garantice la seguridad del personal habilitado.?</t>
  </si>
  <si>
    <t>En las pruebas de inyección de corrientes y tensiones con equipos de prueba, se garantizan los equipos adecuados y en las escalas correspondientes, que no hay señales de tensión, ni corriente en el circuito a intervenir ?</t>
  </si>
  <si>
    <t>Los talleres de mantenimiento cuentan con amplitud, iluminación, ventilación y se encuentran en óptimas Condiciones de orden y aseo, cuentan con equipos para el control de incendios y existe señalización y demarcación. los equipos cuentas con guardas protectoras en los equipos que lo requieran.?</t>
  </si>
  <si>
    <t>Los laboratorios cuentan con amplitud, iluminación, ventilación y se encuentran en óptimas Condiciones de orden y aseo, cuentan con equipos para el control de incendios y existe señalización y demarcación. los equipos cuentan con guardas protectoras y se realiza la certificación de calibración de los equipos.?</t>
  </si>
  <si>
    <t>En instalaciones y áreas restringidas se establecen procedimientos que regulen el comportamiento de los trabajadores, así como de las personas advertidas, dentro de sus instalaciones.?</t>
  </si>
  <si>
    <t>La instalaciones y áreas restringidas cuentan con senderos de circulación y su sentido de tránsito cuando el análisis de riesgos y las necesidades de su control lo requieran.?</t>
  </si>
  <si>
    <t>Las vías de circulación de peatones y vehículos dentro de las instalaciones se encuentran completamente despejadas y cuentan con Ia iluminación requerida para su circulación.?</t>
  </si>
  <si>
    <t>En el evento de realizarse trabajos en dichas vías, presentarse derrames de sustancias, realizar actividades de cargue y descargue, se señaliza y demarca el área afectada, de manera que sea plenamente observable tanto de día como de noche.?</t>
  </si>
  <si>
    <t>Las  instalaciones, deben cuentan con programa de mantenimiento, con el propósito de evitar su deterioro y, por ende, la ocurrencia de accidentes en el personal que las habite ocupe o visite acorde al RETIE?</t>
  </si>
  <si>
    <t>Los andamios se encuentran aterrizados y el traslado de varillas, niveles, equipos de topografía y cualquier elemento metálico se  realiza a menos altura del que la transporta?</t>
  </si>
  <si>
    <t>El plan de atención de emergencias se encuentra actualizado y se actualiza el análisis de vulnerabilidad cada año, se incluyen las valoraciones de emergencia eléctrica acorde a las actividades misionales de la empresa</t>
  </si>
  <si>
    <t>El plan de emergencias cuenta con los recursos para su atención como sistemas de detección, notificación y alarmas, Brigadas de atención y de rescate, Atención a lesionados, grupos de apoyo externo, El personal se encuentra informado sobre Ia inhabilitación de los sistemas cuando así ocurriese, se documentan los procedimientos operativos normalizados de actuación para las vulnerabilidades eléctricas priorizadas, se establecen anualmente ensayos y pruebas de las medidas planificadas (Planes de emergencia) para la atención de las emergencias eléctricas y se cuenta con medios de comunicación.?</t>
  </si>
  <si>
    <t>Se da cumplimiento a la legislación nacional e internacional para realizar trabajos en alturas y se establecen los procedimientos aplicables según las características del proceso y previo análisis de peligros.?</t>
  </si>
  <si>
    <t>Para el trabajo en alturas con exposición a peligros eléctricos el uso de escaleras portables, cumplen con las normas técnicas y de seguridad correspondiente y están compuestas de material en fibra de vidrio.?</t>
  </si>
  <si>
    <t>Se realiza el mantenimiento y certificación de las escaleras; en caso de daño o que se encuentre insegura se realiza el retiro y se almacena debidamente marcada mientras se realiza su disposición final o reparación.?</t>
  </si>
  <si>
    <t>En el uso de escaleras fijas (peldaños), se cumplen consideraciones:
a) No se deben utilizar llevando objetos que ocupen las dos manos o que impidan la visibilidad.
b) Deben estar limpias y sin obstrucciones.
c) Deben estar secas, en buen estado y con materiales antideslizantes.
d) Deben estar provistas de pasamanos.</t>
  </si>
  <si>
    <t>La ropa de labor para el personal está confeccionada en algodón para categoría cero, sin accesorios metálicos.?</t>
  </si>
  <si>
    <t>La organización, apoyada en normas técnicas, realiza un análisis de riesgos para exposición a arco eléctrico acorde al nivel de tensión para cada uno de sus  procesos y tiene definido el tipo de protección especial se requiere considerando la exposición a corrientes de cortocircuito en las condiciones mas desfavorables para cada caso.?</t>
  </si>
  <si>
    <t>La ropa y/o indumentaria de protección contra arco eléctrico esta diseñada conforme con la categoría Peligro/Riesgo establecida en la NFPA 70E, y los estudios de peligro de arco eléctrico realizados con el mismo propósito.?</t>
  </si>
  <si>
    <t>La organización tiene establecida la formación y capacitación acorde a la normatividad legal vigente a los trabajadores sabre el uso, mantenimiento, inspección y almacenamiento de los elementos y equipos de Protección Personal y colectivos indicando las características técnicas, como utilizarlos, cuidados y criterios de reposición.?</t>
  </si>
  <si>
    <t>La organización realiza control diario a fin de garantizar que los trabajadores antes del inicio de actividades, realice la revisión y el uso adecuado de los elementos y equipo de protección requerido de acuerdo a los factores de riesgo a los cuales va a estar expuesto y la organización  tiene implementado un programa de inspección de los elementos y equipos de protección personal y colectivos.?</t>
  </si>
  <si>
    <t>La organización dispone con un Kit de Bloqueo, Etiquetado y Condenación de acuerdo con los sistemas existentes y con la posibilidad de liberación de energías peligrosas.?</t>
  </si>
  <si>
    <t>La organización suministra  oportunamente a sus trabajadores y de conformidad a Ia labor, elementos y equipos de seguridad, requerido para la ejecución de los trabajos y realiza Ia reposición de los mismos cuando por su deterioro o pérdida sea requerido?</t>
  </si>
  <si>
    <t>La organización tiene establecido un procedimiento de habilitación para el personal que realiza  labores con exposición a peligro eléctrico, se encuentra documentado y como mínimo contempla los componentes de formación, experiencia, capacitación y  entrenamiento; incluye la certificación de  las  Normas de Competencia Laboral vigentes según el alcance de las mismas. Igualmente, el proceso de habilitación contempla, en casos específicos, la obligación de acompañamiento activo par parte de personal habilitado, para los trabajadores que cambian de oficio o se reincorporen después de ausencias prolongadas de su actividad operativa.?</t>
  </si>
  <si>
    <t>La organización tiene establecidas las  actividades  de formación,  capacitación y entrenamiento en asuntos de Seguridad y Salud en el Trabajo (SST), de acuerdo a la normatividad legal vigente, se encuentran establecidas en el plan de trabajo anual como parte del SG-SST y cumplen con la  intensidad horaria suficiente para abarcar los riesgos específicos según la exposición a los peligros debidos al cargo, labor, actividad o proceso; cada programa podrá desarrollarse en sesiones cuya duración mínima debe ser de dos horas, La organización garantiza la formación a todos los niveles jerárquicos  que estén comprometidos en el proceso productivo (planeación, programación, ejecución y control) y los registros  hacen referencia a los contenidos específicos desarrollados en la misma.?</t>
  </si>
  <si>
    <t>La organización cuenta o tiene establecido  ejecutar los programas de formación, capacitación  y  entrenamiento, con Unidades  Vocacionales  de  Aprendizaje Empresarial.</t>
  </si>
  <si>
    <t>La organización realiza la certificación de competencias laborales y esta es expedida por escrito,  por el Servicio Nacional de Aprendizaje (SENA), o cualquier otro organismo de certificación de competencias laborales acreditado legalmente para el efecto.?</t>
  </si>
  <si>
    <t>La organización en desarrollo de las actividades realiza poda, mantenimiento de vegetación o alguna actividad silvicultural.?</t>
  </si>
  <si>
    <t>La organización realiza la validación de los permisos de la autoridad ambiental y verificar el buen estado de los equipos de ascenso, cuerdas y herramientas de corte.?</t>
  </si>
  <si>
    <t>Las actividades silviculturales en las que se  interviene redes energizadas se contemplaran los requisitos de trabajos con   tensión, así mismo se consideran energizados  los  circuitos  cuyos  conductores  sean  semi  aislados,  cubiertos, protegidos o ecológicos.?</t>
  </si>
  <si>
    <t>El personal que realizar la poda técnica cuenta con la habilitación de Ia empresa y esta formado en peligros eléctricos.? Para las trabajos de poda donde se intervengan  en redes desenergizadas se deben  aplicar  las Reglas de Oro y los procedimientos seguros de trabajo para la intervención del peligro eléctrico.</t>
  </si>
  <si>
    <t>Para las trabajos de poda donde se intervienen desenergizadas la organización realiza la aplicación de las 5 Reglas de Oro y establece  los procedimientos seguros de trabajo para la intervención del peligro eléctrico.?</t>
  </si>
  <si>
    <t xml:space="preserve">Se cuenta con la autorización para acceder y manipular instalaciones eléctricas? </t>
  </si>
  <si>
    <t>Se realiza charla pre operativa en donde se identifiquen responsables, peligros,  actividades, niveles de tensión y procedimientos de operación entre otros?</t>
  </si>
  <si>
    <t>Se cuenta con los equipos y herramientas adecuados para realizar actividades eléctricas según el método de ejecución?</t>
  </si>
  <si>
    <t xml:space="preserve">La empresa cuenta con un protocolo de comunicaciones propio o del contratante para mantener la comunicación permanente entre equipos de trabajo y centros de control?  </t>
  </si>
  <si>
    <t>La organización cuenta con manual de funciones para evitar acciones para las cuales no se encuentra habilitado un trabajador?</t>
  </si>
  <si>
    <t>La organización cuenta con procedimientos para la identificación de peligros y evaluación de riesgos y cuenta con la matriz de peligros e identificación de riesgos para actividades eléctricas acorde al RETIE?</t>
  </si>
  <si>
    <t>Las Subestaciones de patio se encuentran recubiertas con una capa de gravilla como medida de protección eléctrica y para permitir que se extinga  cualquier incendio ocasionado per derrame de aceite.?</t>
  </si>
  <si>
    <t>En las subestaciones de patio se mantienen en funcionamiento los drenajes que eviten la acumulación de agua en los patios. Los cárcamos y registros deben contar todos con sus respectivas tapas, en buen estado y puestas en su lugar</t>
  </si>
  <si>
    <t>En trabajos en subestaciones de patio donde se utilicen equipos de filtro prensado se encuentran conectadas a tierra tanto las tuberías metálicas como el equipo de tratamiento, bombeo y auxiliares, para descargar la electricidad estática y evitar arcos eléctricos que puedan ocasionar incendios o explosiones.?</t>
  </si>
  <si>
    <t>Al realizar cambios de nomenclatura, cualquiera que sea la causa, estas se dan a conocer al personal que interviene los equipos; se realizan las correspondientes modificaciones en los planos, documentos, diagramas y demás información asociada; y se procede a la realización de cambios o modificación de equipos.?</t>
  </si>
  <si>
    <t xml:space="preserve">NATIONAL FIRE PROTECTION ASSOCIATION </t>
  </si>
  <si>
    <t>REDES DE DISTRIBUCIÓN - Trabajos en redes de distribución subterráneas</t>
  </si>
  <si>
    <t>REDES DE DISTRIBUCIÓN- Generalidades</t>
  </si>
  <si>
    <t>REDES DE DISTRIBUCIÓN - Trabajos en baja y media tensión</t>
  </si>
  <si>
    <t>COMERCIALIZACION - Generalidades</t>
  </si>
  <si>
    <t>COMERCIALIZACION- Medición, corte, suspensión, reconexión, reinstalación</t>
  </si>
  <si>
    <t>COMERCIALIZACION - Cuentas nuevas, revisiones</t>
  </si>
  <si>
    <t>COMERCIALIZACION - Lectura de medidores</t>
  </si>
  <si>
    <t>LÍNEAS DE TRANSMISIÓN - Generalidades</t>
  </si>
  <si>
    <t>LÍNEAS DE TRANSMISIÓN - Construcción de Líneas</t>
  </si>
  <si>
    <t>LÍNEAS DE TRANSMISIÓN- Trabajos sin tensión</t>
  </si>
  <si>
    <t>LÍNEAS DE TRANSMISIÓN- Trabajos con tensión</t>
  </si>
  <si>
    <t>LÍNEAS DE TRANSMISIÓN-Trabajos con manejo de cargas en alturas y otras condiciones especiales</t>
  </si>
  <si>
    <t>CENTRAL HIDROELECTRICA- Generalidades</t>
  </si>
  <si>
    <t>CENTRAL HIDROELECTRICA - Generación Térmica</t>
  </si>
  <si>
    <t>CENTRAL TERMICA- Generalidades</t>
  </si>
  <si>
    <t>CENTRAL TERMICA- Generación Térmica</t>
  </si>
  <si>
    <t>SST SECTOR ELECTRICO Y ACTIVIDADES RELACIONADAS- Generalidades</t>
  </si>
  <si>
    <t>SST SECTOR ELECTRICO Y ACTIVIDADES RELACIONADAS- Distancias de seguridad</t>
  </si>
  <si>
    <t>SST SECTOR ELECTRICO Y ACTIVIDADES RELACIONADAS-Transformacion</t>
  </si>
  <si>
    <t>SST SECTOR ELECTRICO Y ACTIVIDADES RELACIONADAS-Areas de trabajo</t>
  </si>
  <si>
    <t>SST SECTOR ELECTRICO Y ACTIVIDADES RELACIONADAS-Atencion de Emergencias</t>
  </si>
  <si>
    <t>SST SECTOR ELECTRICO Y ACTIVIDADES RELACIONADAS-Transporte</t>
  </si>
  <si>
    <t>SST SECTOR ELECTRICO Y ACTIVIDADES RELACIONADAS- Trabajo en alturas</t>
  </si>
  <si>
    <t>SST SECTOR ELECTRICO Y ACTIVIDADES RELACIONADAS- Elementos de protección individual, colectiva y herramientas de seguridad</t>
  </si>
  <si>
    <t>SST SECTOR ELECTRICO Y ACTIVIDADES RELACIONADAS- Disposiciones para la habilitación del personal en desarrollo de la actividad laboral en el sector eléctrico</t>
  </si>
  <si>
    <t>L. Transmisión</t>
  </si>
  <si>
    <t>Redes de distribución</t>
  </si>
  <si>
    <t>SST Sector eléctrico y actividades relacionadas</t>
  </si>
  <si>
    <t xml:space="preserve">“Todos los derechos reservados. El presente documento, su diseño y contenido es para uso exclusivo de los usuarios/clientes de SURA, quienes se encuentran facultados para ajustarlo y modificarlo teniendo en cuenta sus necesidades y particularidades con el fin de cumplir sus obligaciones, razón por la cual se encuentra prohibido cualquier uso diferente, así como su comercialización, reproducción y transmisión sin el permiso previo y escrito de SURA. © Propiedad Intelectual de Seguros de Vida Suramericana S.A., ARL SURA, marzo de 2021”.
</t>
  </si>
  <si>
    <t xml:space="preserve">Seguros de Vida Suramericana S.A., ARL SURA. © Copyright – Marzo de 2021. Todos los derechos reservados. </t>
  </si>
  <si>
    <t xml:space="preserve">La organización establece para el proceso de corte o suspensión del servicio de energía la desconexión de las fases, una a una según su marcación y luego el neutro y establece los requisitos para los terminales y su respectivo aislamiento? 
</t>
  </si>
  <si>
    <t>Para las actividades de obra civil que incluye corte y perforación en estructuras, para la instalación de nuevas celdas de medida y medidores se tiene contemplado realizar cumpliendo las distancias de seguridad con redes de baja y media tensión; en caso contrario en las que no sea posible cumplir las distancias se realiza el trabajo en acometidas y/o barrajes des energizados?</t>
  </si>
  <si>
    <t>En las actividades donde existe el riesgo de proyección de partículas, golpes, laceraciones entre otras, el empleador tiene establecido suministrar y garantizar su uso, de elementos de protección personal acordes sin desproteger ante posibles peligros eléctricos?</t>
  </si>
  <si>
    <t>La organización tiene establecido  para la realización de pruebas de funcionamiento de medidores, transformadores de corriente (TC) y transformadores de potencial (TP), se deben utilizar equipos y/o herramientas, que garanticen la seguridad del trabajador y de terceros, referente a riesgo eléctrico, de quemaduras y de incendio; este procedimiento incluye protección a fallas eléctricas y aislamiento térmico, los terminales o puntos de conexión son compatibles con los distintos tipos de barrajes?</t>
  </si>
  <si>
    <t>Se tiene establecido en el procedimiento la Identificación y  marcaje de los  bajantes  secundarios  del  punto  o transformador, dejando clara la entrada o alimentación de los bajantes y la salida a la carga o alimentación del circuito?</t>
  </si>
  <si>
    <t>La organización para el proceso de macro medición tiene establecido el procedimiento para cumplimiento de las 5 reglas de oro para trabajo en redes sin tensión?</t>
  </si>
  <si>
    <t>El personal que realiza la apertura, manipulación y acceso a celdas de medida  se encuentra habilitado, avalado por la empresa y con los elementos de protección personal para contacto directo  indirecto y de protección contra arco eléctrico?</t>
  </si>
  <si>
    <t>Seguros de Vida Suramericana S.A., ARL SURA. © Copyright – Marzo de 2021. Todos los derechos reservados.</t>
  </si>
  <si>
    <t>Se tiene identificada en la matriz de requisitos la legislación referente a la resolución 6045 del 2014 del Ministerio del Trabajo; LA Resolución 3710 de 2019 del Ministerio de Trabajo, el Decreto Único Reglamentario 1072 de 2015 del Sector Trabajo, en los artículos 2.2.4.6.1, 2.2.4.6.8, el articulo 348 del Código Sustantivo del Trabajo, y el articulo 84 de Ia Ley 9 de 1979?</t>
  </si>
  <si>
    <t>Se cuenta con Programa para Control del Peligro Eléctrico?</t>
  </si>
  <si>
    <t>PUNTAJE OBTENIDO</t>
  </si>
  <si>
    <t>PUNTAJE MAXIMO</t>
  </si>
  <si>
    <t>PORCENTAJE</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</si>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</sst>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0"/>
      <name val="Arial"/>
      <family val="2"/>
    </font>
    <font>
      <b/>
      <sz val="12"/>
      <color theme="1"/>
      <name val="Arial"/>
      <family val="2"/>
    </font>
    <font>
      <sz val="12"/>
      <color theme="1"/>
      <name val="Open Sans"/>
      <family val="2"/>
    </font>
    <font>
      <sz val="12"/>
      <name val="Open Sans"/>
      <family val="2"/>
    </font>
    <font>
      <sz val="12"/>
      <name val="Arial"/>
      <family val="2"/>
    </font>
    <font>
      <b/>
      <sz val="12"/>
      <name val="Arial"/>
      <family val="2"/>
    </font>
    <font>
      <b/>
      <sz val="14"/>
      <color theme="1"/>
      <name val="Arial"/>
      <family val="2"/>
    </font>
    <font>
      <sz val="14"/>
      <color theme="1"/>
      <name val="Arial"/>
      <family val="2"/>
    </font>
    <font>
      <b/>
      <sz val="18"/>
      <color theme="1"/>
      <name val="Arial"/>
      <family val="2"/>
    </font>
    <font>
      <sz val="12"/>
      <color theme="1"/>
      <name val="Arial"/>
      <family val="2"/>
    </font>
    <font>
      <b/>
      <sz val="11"/>
      <color theme="1"/>
      <name val="Calibri"/>
      <family val="2"/>
      <scheme val="minor"/>
    </font>
    <font>
      <b/>
      <sz val="12"/>
      <color rgb="FF000000"/>
      <name val="Arial"/>
      <family val="2"/>
    </font>
    <font>
      <sz val="12"/>
      <color rgb="FF000000"/>
      <name val="Arial"/>
      <family val="2"/>
    </font>
    <font>
      <sz val="11"/>
      <color theme="1"/>
      <name val="Calibri"/>
      <family val="2"/>
      <scheme val="minor"/>
    </font>
    <font>
      <b/>
      <sz val="11"/>
      <color theme="1"/>
      <name val="Arial"/>
      <family val="2"/>
    </font>
    <font>
      <b/>
      <sz val="12"/>
      <color theme="0"/>
      <name val="Arial"/>
      <family val="2"/>
    </font>
    <font>
      <sz val="11"/>
      <color theme="1"/>
      <name val="Arial"/>
      <family val="2"/>
    </font>
    <font>
      <b/>
      <i/>
      <sz val="10"/>
      <color theme="1"/>
      <name val="Arial"/>
      <family val="2"/>
    </font>
    <font>
      <i/>
      <sz val="8"/>
      <color rgb="FF000000"/>
      <name val="Calibri"/>
      <family val="2"/>
    </font>
    <font>
      <i/>
      <sz val="8"/>
      <color rgb="FF000000"/>
      <name val="Arial"/>
      <family val="2"/>
    </font>
    <font>
      <i/>
      <sz val="8"/>
      <color theme="1"/>
      <name val="Arial"/>
      <family val="2"/>
    </font>
    <font>
      <sz val="10"/>
      <color theme="1"/>
      <name val="Arial"/>
      <family val="2"/>
    </font>
  </fonts>
  <fills count="6">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theme="4" tint="-0.499984740745262"/>
        <bgColor rgb="FF000000"/>
      </patternFill>
    </fill>
    <fill>
      <patternFill patternType="solid">
        <fgColor rgb="FFFFFF00"/>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50"/>
      </left>
      <right style="thin">
        <color indexed="50"/>
      </right>
      <top style="thin">
        <color indexed="50"/>
      </top>
      <bottom style="thin">
        <color indexed="50"/>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rgb="FF000000"/>
      </left>
      <right/>
      <top style="thin">
        <color rgb="FF000000"/>
      </top>
      <bottom/>
      <diagonal/>
    </border>
    <border>
      <left/>
      <right style="medium">
        <color indexed="64"/>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9" fontId="14" fillId="0" borderId="0" applyFont="0" applyFill="0" applyBorder="0" applyAlignment="0" applyProtection="0"/>
  </cellStyleXfs>
  <cellXfs count="138">
    <xf numFmtId="0" fontId="0" fillId="0" borderId="0" xfId="0"/>
    <xf numFmtId="0" fontId="3" fillId="0" borderId="0" xfId="0" applyFont="1"/>
    <xf numFmtId="0" fontId="3" fillId="0" borderId="0" xfId="0" applyFont="1" applyFill="1"/>
    <xf numFmtId="0" fontId="4" fillId="0" borderId="0" xfId="2" applyFont="1" applyFill="1" applyAlignment="1">
      <alignment horizontal="left" wrapText="1"/>
    </xf>
    <xf numFmtId="0" fontId="5" fillId="2" borderId="0" xfId="2" applyFont="1" applyFill="1"/>
    <xf numFmtId="0" fontId="6" fillId="0" borderId="5" xfId="0" applyFont="1" applyFill="1" applyBorder="1" applyAlignment="1">
      <alignment vertical="center" wrapText="1"/>
    </xf>
    <xf numFmtId="0" fontId="5" fillId="0" borderId="5" xfId="0" applyFont="1" applyFill="1" applyBorder="1" applyAlignment="1" applyProtection="1">
      <alignment horizontal="justify" vertical="center" wrapText="1"/>
      <protection locked="0"/>
    </xf>
    <xf numFmtId="14" fontId="5" fillId="0" borderId="5" xfId="0" applyNumberFormat="1" applyFont="1" applyFill="1" applyBorder="1" applyAlignment="1" applyProtection="1">
      <alignment horizontal="justify" vertical="center" wrapText="1"/>
      <protection locked="0"/>
    </xf>
    <xf numFmtId="0" fontId="8" fillId="0" borderId="0" xfId="0" applyFont="1" applyAlignment="1">
      <alignment horizontal="center"/>
    </xf>
    <xf numFmtId="0" fontId="8" fillId="0" borderId="0" xfId="0" applyFont="1" applyAlignment="1">
      <alignment vertical="center"/>
    </xf>
    <xf numFmtId="0" fontId="7" fillId="0" borderId="0" xfId="0" applyFont="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center" vertical="center"/>
    </xf>
    <xf numFmtId="0" fontId="7" fillId="2" borderId="1" xfId="0" applyFont="1" applyFill="1" applyBorder="1" applyAlignment="1">
      <alignment horizontal="center" vertical="center"/>
    </xf>
    <xf numFmtId="0" fontId="8" fillId="0" borderId="0" xfId="0" applyFont="1" applyAlignment="1">
      <alignment horizontal="justify" vertical="top" wrapText="1"/>
    </xf>
    <xf numFmtId="0" fontId="8" fillId="0" borderId="7" xfId="0" applyFont="1" applyBorder="1" applyAlignment="1">
      <alignment horizontal="justify" vertical="top" wrapText="1"/>
    </xf>
    <xf numFmtId="0" fontId="7" fillId="2" borderId="7" xfId="0" applyFont="1" applyFill="1" applyBorder="1" applyAlignment="1">
      <alignment horizontal="center" vertical="center" wrapText="1"/>
    </xf>
    <xf numFmtId="0" fontId="8" fillId="0" borderId="7" xfId="0" applyFont="1" applyBorder="1" applyAlignment="1">
      <alignment horizontal="left" vertical="top" wrapText="1"/>
    </xf>
    <xf numFmtId="0" fontId="7" fillId="2" borderId="2" xfId="0" applyFont="1" applyFill="1" applyBorder="1" applyAlignment="1">
      <alignment horizontal="center" vertical="center"/>
    </xf>
    <xf numFmtId="0" fontId="10" fillId="0" borderId="1"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7" fillId="2" borderId="2" xfId="0" applyFont="1" applyFill="1" applyBorder="1" applyAlignment="1">
      <alignment horizontal="center" vertical="center"/>
    </xf>
    <xf numFmtId="0" fontId="11" fillId="0" borderId="7" xfId="0" applyFont="1" applyBorder="1" applyAlignment="1">
      <alignment horizontal="center" vertical="center"/>
    </xf>
    <xf numFmtId="0" fontId="0" fillId="0" borderId="7" xfId="0" applyBorder="1"/>
    <xf numFmtId="0" fontId="0" fillId="0" borderId="7" xfId="0" applyBorder="1" applyAlignment="1">
      <alignment horizontal="center" vertical="center"/>
    </xf>
    <xf numFmtId="0" fontId="7" fillId="2" borderId="7" xfId="0" applyFont="1" applyFill="1" applyBorder="1" applyAlignment="1">
      <alignment horizontal="center" vertical="center"/>
    </xf>
    <xf numFmtId="0" fontId="10" fillId="0" borderId="7" xfId="0" applyNumberFormat="1" applyFont="1" applyBorder="1" applyAlignment="1">
      <alignment horizontal="center" vertical="center"/>
    </xf>
    <xf numFmtId="0" fontId="8" fillId="0"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10" fillId="0" borderId="0" xfId="0" applyFont="1" applyAlignment="1">
      <alignment horizontal="center" wrapText="1"/>
    </xf>
    <xf numFmtId="0" fontId="10" fillId="0" borderId="0" xfId="0" applyFont="1" applyAlignment="1">
      <alignment vertical="center" wrapText="1"/>
    </xf>
    <xf numFmtId="0" fontId="2"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NumberFormat="1" applyFont="1" applyBorder="1" applyAlignment="1">
      <alignment horizontal="center" vertical="center" wrapText="1"/>
    </xf>
    <xf numFmtId="0" fontId="10" fillId="0" borderId="0" xfId="0" applyFont="1" applyAlignment="1">
      <alignment horizontal="center" vertical="center" wrapText="1"/>
    </xf>
    <xf numFmtId="0" fontId="2" fillId="0" borderId="0" xfId="0" applyFont="1" applyFill="1" applyBorder="1" applyAlignment="1">
      <alignment horizontal="center" vertical="center" wrapText="1"/>
    </xf>
    <xf numFmtId="0" fontId="10" fillId="0" borderId="0" xfId="0" applyFont="1" applyBorder="1" applyAlignment="1">
      <alignment vertical="center" wrapText="1"/>
    </xf>
    <xf numFmtId="0" fontId="13" fillId="0" borderId="7" xfId="0" applyFont="1" applyBorder="1" applyAlignment="1">
      <alignment horizontal="center" vertical="center"/>
    </xf>
    <xf numFmtId="9" fontId="0" fillId="0" borderId="0" xfId="3" applyFont="1"/>
    <xf numFmtId="9" fontId="13" fillId="0" borderId="13" xfId="3" applyNumberFormat="1" applyFont="1" applyBorder="1" applyAlignment="1">
      <alignment horizontal="center" vertical="center"/>
    </xf>
    <xf numFmtId="0" fontId="13" fillId="0" borderId="15" xfId="0" applyFont="1" applyBorder="1" applyAlignment="1">
      <alignment horizontal="center" vertical="center"/>
    </xf>
    <xf numFmtId="9" fontId="13" fillId="0" borderId="16" xfId="3" applyNumberFormat="1" applyFont="1" applyBorder="1" applyAlignment="1">
      <alignment horizontal="center" vertical="center"/>
    </xf>
    <xf numFmtId="0" fontId="10" fillId="0" borderId="0" xfId="0" applyFont="1" applyAlignment="1">
      <alignment horizontal="center"/>
    </xf>
    <xf numFmtId="0" fontId="10" fillId="0" borderId="0" xfId="0" applyFont="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0" fillId="0" borderId="0" xfId="0" applyFont="1" applyAlignment="1">
      <alignment horizontal="center" vertical="center"/>
    </xf>
    <xf numFmtId="0" fontId="2" fillId="0" borderId="23" xfId="0" applyFont="1" applyBorder="1" applyAlignment="1"/>
    <xf numFmtId="0" fontId="2" fillId="0" borderId="24" xfId="0" applyFont="1" applyBorder="1" applyAlignment="1"/>
    <xf numFmtId="0" fontId="2" fillId="2" borderId="7" xfId="0" applyFont="1" applyFill="1" applyBorder="1" applyAlignment="1">
      <alignment horizontal="center" vertical="center" wrapText="1"/>
    </xf>
    <xf numFmtId="164" fontId="10" fillId="3" borderId="29" xfId="0" applyNumberFormat="1" applyFont="1" applyFill="1" applyBorder="1" applyAlignment="1">
      <alignment horizontal="center" vertical="center"/>
    </xf>
    <xf numFmtId="0" fontId="15" fillId="3" borderId="28" xfId="0" applyFont="1" applyFill="1" applyBorder="1" applyAlignment="1"/>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0" fillId="0" borderId="0" xfId="0" applyFont="1" applyBorder="1" applyAlignment="1">
      <alignment horizontal="center" vertical="center" wrapText="1"/>
    </xf>
    <xf numFmtId="0" fontId="13" fillId="0" borderId="12" xfId="0" applyFont="1" applyFill="1" applyBorder="1" applyAlignment="1">
      <alignment horizontal="left" vertical="center" wrapText="1"/>
    </xf>
    <xf numFmtId="0" fontId="13" fillId="0" borderId="12" xfId="0" applyFont="1" applyFill="1" applyBorder="1" applyAlignment="1">
      <alignment horizontal="left" vertical="center"/>
    </xf>
    <xf numFmtId="0" fontId="13" fillId="0" borderId="14" xfId="0" applyFont="1" applyFill="1" applyBorder="1" applyAlignment="1">
      <alignment horizontal="left" vertical="center"/>
    </xf>
    <xf numFmtId="9" fontId="12" fillId="5" borderId="27" xfId="3" applyNumberFormat="1" applyFont="1" applyFill="1" applyBorder="1" applyAlignment="1">
      <alignment horizontal="center" vertical="center"/>
    </xf>
    <xf numFmtId="0" fontId="16" fillId="4" borderId="10"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6" fillId="4" borderId="7" xfId="0" applyFont="1" applyFill="1" applyBorder="1" applyAlignment="1">
      <alignment horizontal="center" vertical="center" wrapText="1"/>
    </xf>
    <xf numFmtId="0" fontId="16" fillId="4" borderId="26" xfId="0" applyFont="1" applyFill="1" applyBorder="1" applyAlignment="1">
      <alignment horizontal="center" vertical="center" wrapText="1"/>
    </xf>
    <xf numFmtId="0" fontId="0" fillId="0" borderId="0" xfId="0" applyAlignment="1">
      <alignment wrapText="1"/>
    </xf>
    <xf numFmtId="0" fontId="15" fillId="5" borderId="30" xfId="0" applyFont="1" applyFill="1" applyBorder="1" applyAlignment="1">
      <alignment horizontal="center" vertical="center" wrapText="1"/>
    </xf>
    <xf numFmtId="9" fontId="13" fillId="0" borderId="7" xfId="3" applyNumberFormat="1" applyFont="1" applyBorder="1" applyAlignment="1">
      <alignment horizontal="center" vertical="center"/>
    </xf>
    <xf numFmtId="0" fontId="21" fillId="0" borderId="0" xfId="0" applyFont="1" applyAlignment="1">
      <alignment horizontal="left" vertical="center"/>
    </xf>
    <xf numFmtId="0" fontId="21" fillId="0" borderId="0" xfId="0" applyFont="1" applyAlignment="1">
      <alignment horizontal="left"/>
    </xf>
    <xf numFmtId="0" fontId="21" fillId="0" borderId="0" xfId="0" applyFont="1"/>
    <xf numFmtId="0" fontId="10" fillId="0" borderId="7" xfId="0" applyFont="1" applyBorder="1" applyAlignment="1">
      <alignment horizontal="left" vertical="top" wrapText="1"/>
    </xf>
    <xf numFmtId="0" fontId="10" fillId="0" borderId="7" xfId="0" applyFont="1" applyBorder="1" applyAlignment="1">
      <alignment horizontal="justify" vertical="top" wrapText="1"/>
    </xf>
    <xf numFmtId="0" fontId="10" fillId="0" borderId="7" xfId="0" applyFont="1" applyBorder="1" applyAlignment="1">
      <alignment horizontal="left" vertical="center" wrapText="1"/>
    </xf>
    <xf numFmtId="0" fontId="2" fillId="2" borderId="0" xfId="0" applyFont="1" applyFill="1" applyAlignment="1">
      <alignment horizontal="justify" vertical="center"/>
    </xf>
    <xf numFmtId="0" fontId="7" fillId="2" borderId="0" xfId="0" applyFont="1" applyFill="1" applyAlignment="1">
      <alignment horizontal="center" vertical="center" wrapText="1"/>
    </xf>
    <xf numFmtId="0" fontId="7" fillId="2" borderId="0" xfId="0" applyFont="1" applyFill="1" applyAlignment="1">
      <alignment horizontal="center" vertical="center"/>
    </xf>
    <xf numFmtId="0" fontId="18" fillId="2" borderId="0" xfId="0" applyFont="1" applyFill="1" applyAlignment="1">
      <alignment horizontal="justify" wrapText="1"/>
    </xf>
    <xf numFmtId="0" fontId="17" fillId="0" borderId="0" xfId="0" applyFont="1" applyFill="1" applyAlignment="1">
      <alignment horizontal="center" vertical="center" wrapText="1"/>
    </xf>
    <xf numFmtId="0" fontId="20" fillId="0" borderId="0" xfId="0" applyFont="1" applyAlignment="1">
      <alignment horizontal="left"/>
    </xf>
    <xf numFmtId="0" fontId="19" fillId="0" borderId="0" xfId="0" applyFont="1" applyAlignment="1">
      <alignment horizontal="left"/>
    </xf>
    <xf numFmtId="0" fontId="7" fillId="2" borderId="31"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7" fillId="2" borderId="31" xfId="0" applyFont="1" applyFill="1" applyBorder="1" applyAlignment="1">
      <alignment horizontal="center" vertical="center"/>
    </xf>
    <xf numFmtId="0" fontId="7" fillId="2" borderId="32" xfId="0" applyFont="1" applyFill="1" applyBorder="1" applyAlignment="1">
      <alignment horizontal="center" vertical="center"/>
    </xf>
    <xf numFmtId="0" fontId="10" fillId="0" borderId="2" xfId="0" applyFont="1" applyBorder="1" applyAlignment="1">
      <alignment horizontal="justify" vertical="center" wrapText="1"/>
    </xf>
    <xf numFmtId="0" fontId="10" fillId="0" borderId="3" xfId="0" applyFont="1" applyBorder="1" applyAlignment="1">
      <alignment horizontal="justify" vertical="center"/>
    </xf>
    <xf numFmtId="0" fontId="10" fillId="0" borderId="4" xfId="0" applyFont="1" applyBorder="1" applyAlignment="1">
      <alignment horizontal="justify" vertical="center"/>
    </xf>
    <xf numFmtId="0" fontId="10" fillId="0" borderId="3" xfId="0" applyFont="1" applyBorder="1" applyAlignment="1">
      <alignment horizontal="justify" vertical="center" wrapText="1"/>
    </xf>
    <xf numFmtId="0" fontId="10" fillId="0" borderId="4" xfId="0" applyFont="1" applyBorder="1" applyAlignment="1">
      <alignment horizontal="justify" vertical="center" wrapText="1"/>
    </xf>
    <xf numFmtId="0" fontId="10" fillId="0" borderId="2" xfId="0" applyFont="1" applyBorder="1" applyAlignment="1">
      <alignment horizontal="justify" vertical="center"/>
    </xf>
    <xf numFmtId="0" fontId="8" fillId="0" borderId="0" xfId="0" applyFont="1" applyAlignment="1">
      <alignment horizontal="left"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9" fillId="2" borderId="7" xfId="1"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10" fillId="0" borderId="6" xfId="0" applyFont="1" applyBorder="1" applyAlignment="1">
      <alignment horizontal="justify" vertical="top" wrapText="1"/>
    </xf>
    <xf numFmtId="0" fontId="10" fillId="0" borderId="8" xfId="0" applyFont="1" applyBorder="1" applyAlignment="1">
      <alignment horizontal="justify" vertical="top" wrapText="1"/>
    </xf>
    <xf numFmtId="0" fontId="10" fillId="0" borderId="9" xfId="0" applyFont="1" applyBorder="1" applyAlignment="1">
      <alignment horizontal="justify" vertical="top" wrapText="1"/>
    </xf>
    <xf numFmtId="0" fontId="10" fillId="0" borderId="1" xfId="0" applyFont="1" applyBorder="1" applyAlignment="1">
      <alignment horizontal="justify" vertical="top" wrapText="1"/>
    </xf>
    <xf numFmtId="0" fontId="10" fillId="0" borderId="0" xfId="0" applyFont="1" applyAlignment="1">
      <alignment horizontal="left" vertical="center" wrapText="1"/>
    </xf>
    <xf numFmtId="0" fontId="21" fillId="0" borderId="0" xfId="0" applyFont="1" applyAlignment="1">
      <alignment horizontal="left" wrapText="1"/>
    </xf>
    <xf numFmtId="0" fontId="21" fillId="0" borderId="33" xfId="0" applyFont="1" applyBorder="1" applyAlignment="1">
      <alignment horizontal="left" wrapText="1"/>
    </xf>
    <xf numFmtId="0" fontId="2" fillId="2" borderId="7" xfId="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1" applyFont="1" applyFill="1" applyBorder="1" applyAlignment="1">
      <alignment horizontal="center" vertical="center"/>
    </xf>
    <xf numFmtId="0" fontId="2" fillId="2" borderId="4" xfId="0" applyFont="1" applyFill="1" applyBorder="1" applyAlignment="1">
      <alignment horizontal="center" vertical="center" wrapText="1"/>
    </xf>
    <xf numFmtId="0" fontId="10" fillId="0" borderId="2" xfId="0" applyFont="1" applyBorder="1" applyAlignment="1">
      <alignment horizontal="justify" vertical="top"/>
    </xf>
    <xf numFmtId="0" fontId="10" fillId="0" borderId="3" xfId="0" applyFont="1" applyBorder="1" applyAlignment="1">
      <alignment horizontal="justify" vertical="top"/>
    </xf>
    <xf numFmtId="0" fontId="10" fillId="0" borderId="4" xfId="0" applyFont="1" applyBorder="1" applyAlignment="1">
      <alignment horizontal="justify" vertical="top"/>
    </xf>
    <xf numFmtId="0" fontId="10" fillId="0" borderId="0" xfId="0" applyFont="1" applyAlignment="1">
      <alignment horizontal="left" vertical="center"/>
    </xf>
    <xf numFmtId="0" fontId="10" fillId="0" borderId="0" xfId="0" applyFont="1" applyAlignment="1">
      <alignment horizontal="center" vertical="center"/>
    </xf>
    <xf numFmtId="0" fontId="2" fillId="2" borderId="7" xfId="0" applyFont="1" applyFill="1" applyBorder="1" applyAlignment="1">
      <alignment horizontal="center" vertical="center" wrapText="1"/>
    </xf>
    <xf numFmtId="0" fontId="21" fillId="0" borderId="0" xfId="0" applyFont="1" applyAlignment="1">
      <alignment horizontal="left"/>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16" fillId="4" borderId="20" xfId="0" applyFont="1" applyFill="1" applyBorder="1" applyAlignment="1">
      <alignment horizontal="center" vertical="center"/>
    </xf>
    <xf numFmtId="0" fontId="16" fillId="4" borderId="21"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19" xfId="0" applyFont="1" applyFill="1" applyBorder="1" applyAlignment="1">
      <alignment horizontal="center" vertical="center"/>
    </xf>
    <xf numFmtId="0" fontId="22" fillId="0" borderId="7" xfId="0" applyFont="1" applyBorder="1" applyAlignment="1">
      <alignment horizontal="center" vertical="center" wrapText="1"/>
    </xf>
    <xf numFmtId="0" fontId="8" fillId="0" borderId="7" xfId="0" applyFont="1" applyBorder="1" applyAlignment="1">
      <alignment horizontal="center" vertical="center"/>
    </xf>
    <xf numFmtId="0" fontId="10" fillId="0" borderId="7" xfId="0" applyNumberFormat="1" applyFont="1" applyFill="1" applyBorder="1" applyAlignment="1">
      <alignment horizontal="center" vertical="center"/>
    </xf>
    <xf numFmtId="9" fontId="8" fillId="0" borderId="7" xfId="3" applyFont="1" applyBorder="1" applyAlignment="1">
      <alignment horizontal="center" vertical="center"/>
    </xf>
    <xf numFmtId="0" fontId="8" fillId="0" borderId="0" xfId="0" applyFont="1" applyBorder="1" applyAlignment="1">
      <alignment horizontal="center" vertical="center"/>
    </xf>
    <xf numFmtId="9" fontId="8" fillId="0" borderId="0" xfId="3" applyFont="1" applyBorder="1" applyAlignment="1">
      <alignment horizontal="center" vertical="center"/>
    </xf>
    <xf numFmtId="0" fontId="7" fillId="0" borderId="31" xfId="0" applyFont="1" applyFill="1" applyBorder="1" applyAlignment="1">
      <alignment horizontal="center" vertical="center"/>
    </xf>
    <xf numFmtId="0" fontId="7" fillId="0" borderId="32" xfId="0" applyFont="1" applyFill="1" applyBorder="1" applyAlignment="1">
      <alignment horizontal="center" vertical="center"/>
    </xf>
    <xf numFmtId="0" fontId="7" fillId="0" borderId="34" xfId="0" applyFont="1" applyFill="1" applyBorder="1" applyAlignment="1">
      <alignment horizontal="center" vertical="center"/>
    </xf>
  </cellXfs>
  <cellStyles count="4">
    <cellStyle name="Normal" xfId="0" builtinId="0"/>
    <cellStyle name="Normal 2" xfId="2" xr:uid="{00000000-0005-0000-0000-000001000000}"/>
    <cellStyle name="Normal 3 2" xfId="1" xr:uid="{00000000-0005-0000-0000-000002000000}"/>
    <cellStyle name="Porcentaje" xfId="3" builtinId="5"/>
  </cellStyles>
  <dxfs count="0"/>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línea basal Resolución 5018 de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radarChart>
        <c:radarStyle val="marker"/>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Resultados!$A$6:$A$11</c:f>
              <c:strCache>
                <c:ptCount val="6"/>
                <c:pt idx="0">
                  <c:v>SST Sector eléctrico y actividades relacionadas</c:v>
                </c:pt>
                <c:pt idx="1">
                  <c:v>Centrales térmicas</c:v>
                </c:pt>
                <c:pt idx="2">
                  <c:v>Centrales hidroeléctricas</c:v>
                </c:pt>
                <c:pt idx="3">
                  <c:v>L. Transmisión</c:v>
                </c:pt>
                <c:pt idx="4">
                  <c:v>Redes de distribución</c:v>
                </c:pt>
                <c:pt idx="5">
                  <c:v>Comercialización</c:v>
                </c:pt>
              </c:strCache>
            </c:strRef>
          </c:cat>
          <c:val>
            <c:numRef>
              <c:f>Resultados!$D$6:$D$11</c:f>
              <c:numCache>
                <c:formatCode>0%</c:formatCode>
                <c:ptCount val="6"/>
                <c:pt idx="0">
                  <c:v>0.72566371681415931</c:v>
                </c:pt>
                <c:pt idx="1">
                  <c:v>0</c:v>
                </c:pt>
                <c:pt idx="2">
                  <c:v>0</c:v>
                </c:pt>
                <c:pt idx="3">
                  <c:v>0</c:v>
                </c:pt>
                <c:pt idx="4">
                  <c:v>0</c:v>
                </c:pt>
                <c:pt idx="5">
                  <c:v>0</c:v>
                </c:pt>
              </c:numCache>
            </c:numRef>
          </c:val>
          <c:extLst>
            <c:ext xmlns:c16="http://schemas.microsoft.com/office/drawing/2014/chart" uri="{C3380CC4-5D6E-409C-BE32-E72D297353CC}">
              <c16:uniqueId val="{00000000-B790-47DB-B7A9-ADF597F69C13}"/>
            </c:ext>
          </c:extLst>
        </c:ser>
        <c:dLbls>
          <c:showLegendKey val="0"/>
          <c:showVal val="0"/>
          <c:showCatName val="0"/>
          <c:showSerName val="0"/>
          <c:showPercent val="0"/>
          <c:showBubbleSize val="0"/>
        </c:dLbls>
        <c:axId val="478298815"/>
        <c:axId val="478305055"/>
      </c:radarChart>
      <c:catAx>
        <c:axId val="4782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78305055"/>
        <c:crosses val="autoZero"/>
        <c:auto val="1"/>
        <c:lblAlgn val="ctr"/>
        <c:lblOffset val="100"/>
        <c:noMultiLvlLbl val="0"/>
      </c:catAx>
      <c:valAx>
        <c:axId val="478305055"/>
        <c:scaling>
          <c:orientation val="minMax"/>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478298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L. Transmisi&#243;n'!A1"/><Relationship Id="rId3" Type="http://schemas.openxmlformats.org/officeDocument/2006/relationships/hyperlink" Target="#Siglas!A1"/><Relationship Id="rId7" Type="http://schemas.openxmlformats.org/officeDocument/2006/relationships/hyperlink" Target="#'C. Hidroel&#233;ctricas'!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Centrales T&#233;rmicas'!A1"/><Relationship Id="rId5" Type="http://schemas.openxmlformats.org/officeDocument/2006/relationships/hyperlink" Target="#'SST sector EL. y Actividades'!A1"/><Relationship Id="rId10" Type="http://schemas.openxmlformats.org/officeDocument/2006/relationships/hyperlink" Target="#Resultados!A1"/><Relationship Id="rId4" Type="http://schemas.openxmlformats.org/officeDocument/2006/relationships/hyperlink" Target="#'Redes de distribuci&#243;n'!A1"/><Relationship Id="rId9" Type="http://schemas.openxmlformats.org/officeDocument/2006/relationships/hyperlink" Target="#Comercializaci&#243;n!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Portada!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Portada!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Portada!A1"/></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Portada!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Portada!A1"/></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Portada!A1"/></Relationships>
</file>

<file path=xl/drawings/_rels/drawing8.xml.rels><?xml version="1.0" encoding="UTF-8" standalone="yes"?>
<Relationships xmlns="http://schemas.openxmlformats.org/package/2006/relationships"><Relationship Id="rId1" Type="http://schemas.openxmlformats.org/officeDocument/2006/relationships/hyperlink" Target="#Portada!A1"/></Relationships>
</file>

<file path=xl/drawings/_rels/drawing9.xml.rels><?xml version="1.0" encoding="UTF-8" standalone="yes"?>
<Relationships xmlns="http://schemas.openxmlformats.org/package/2006/relationships"><Relationship Id="rId2" Type="http://schemas.openxmlformats.org/officeDocument/2006/relationships/hyperlink" Target="#Portada!A1"/><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1017269</xdr:colOff>
      <xdr:row>0</xdr:row>
      <xdr:rowOff>97155</xdr:rowOff>
    </xdr:from>
    <xdr:to>
      <xdr:col>3</xdr:col>
      <xdr:colOff>2834640</xdr:colOff>
      <xdr:row>2</xdr:row>
      <xdr:rowOff>160020</xdr:rowOff>
    </xdr:to>
    <xdr:grpSp>
      <xdr:nvGrpSpPr>
        <xdr:cNvPr id="5" name="Grupo 4">
          <a:extLst>
            <a:ext uri="{FF2B5EF4-FFF2-40B4-BE49-F238E27FC236}">
              <a16:creationId xmlns:a16="http://schemas.microsoft.com/office/drawing/2014/main" id="{00000000-0008-0000-0000-000005000000}"/>
            </a:ext>
          </a:extLst>
        </xdr:cNvPr>
        <xdr:cNvGrpSpPr/>
      </xdr:nvGrpSpPr>
      <xdr:grpSpPr>
        <a:xfrm>
          <a:off x="1588769" y="97155"/>
          <a:ext cx="4834891" cy="504825"/>
          <a:chOff x="333375" y="55566"/>
          <a:chExt cx="6521251" cy="885714"/>
        </a:xfrm>
      </xdr:grpSpPr>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333375" y="55566"/>
            <a:ext cx="1057143" cy="885714"/>
          </a:xfrm>
          <a:prstGeom prst="rect">
            <a:avLst/>
          </a:prstGeom>
        </xdr:spPr>
      </xdr:pic>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5254626" y="55566"/>
            <a:ext cx="1600000" cy="885714"/>
          </a:xfrm>
          <a:prstGeom prst="rect">
            <a:avLst/>
          </a:prstGeom>
        </xdr:spPr>
      </xdr:pic>
    </xdr:grpSp>
    <xdr:clientData/>
  </xdr:twoCellAnchor>
  <xdr:twoCellAnchor>
    <xdr:from>
      <xdr:col>5</xdr:col>
      <xdr:colOff>142875</xdr:colOff>
      <xdr:row>3</xdr:row>
      <xdr:rowOff>9525</xdr:rowOff>
    </xdr:from>
    <xdr:to>
      <xdr:col>8</xdr:col>
      <xdr:colOff>343412</xdr:colOff>
      <xdr:row>4</xdr:row>
      <xdr:rowOff>29394</xdr:rowOff>
    </xdr:to>
    <xdr:sp macro="" textlink="">
      <xdr:nvSpPr>
        <xdr:cNvPr id="14" name="CuadroTexto 13">
          <a:hlinkClick xmlns:r="http://schemas.openxmlformats.org/officeDocument/2006/relationships" r:id="rId3"/>
          <a:extLst>
            <a:ext uri="{FF2B5EF4-FFF2-40B4-BE49-F238E27FC236}">
              <a16:creationId xmlns:a16="http://schemas.microsoft.com/office/drawing/2014/main" id="{00000000-0008-0000-0000-00000E000000}"/>
            </a:ext>
          </a:extLst>
        </xdr:cNvPr>
        <xdr:cNvSpPr txBox="1"/>
      </xdr:nvSpPr>
      <xdr:spPr>
        <a:xfrm>
          <a:off x="7486650" y="695325"/>
          <a:ext cx="2048387"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Siglas</a:t>
          </a:r>
        </a:p>
      </xdr:txBody>
    </xdr:sp>
    <xdr:clientData/>
  </xdr:twoCellAnchor>
  <xdr:twoCellAnchor>
    <xdr:from>
      <xdr:col>5</xdr:col>
      <xdr:colOff>142875</xdr:colOff>
      <xdr:row>14</xdr:row>
      <xdr:rowOff>104775</xdr:rowOff>
    </xdr:from>
    <xdr:to>
      <xdr:col>8</xdr:col>
      <xdr:colOff>343412</xdr:colOff>
      <xdr:row>16</xdr:row>
      <xdr:rowOff>819</xdr:rowOff>
    </xdr:to>
    <xdr:sp macro="" textlink="">
      <xdr:nvSpPr>
        <xdr:cNvPr id="15" name="CuadroTexto 14">
          <a:hlinkClick xmlns:r="http://schemas.openxmlformats.org/officeDocument/2006/relationships" r:id="rId4"/>
          <a:extLst>
            <a:ext uri="{FF2B5EF4-FFF2-40B4-BE49-F238E27FC236}">
              <a16:creationId xmlns:a16="http://schemas.microsoft.com/office/drawing/2014/main" id="{00000000-0008-0000-0000-00000F000000}"/>
            </a:ext>
          </a:extLst>
        </xdr:cNvPr>
        <xdr:cNvSpPr txBox="1"/>
      </xdr:nvSpPr>
      <xdr:spPr>
        <a:xfrm>
          <a:off x="7486650" y="3581400"/>
          <a:ext cx="2048387" cy="353244"/>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Redes de distribcion</a:t>
          </a:r>
        </a:p>
      </xdr:txBody>
    </xdr:sp>
    <xdr:clientData/>
  </xdr:twoCellAnchor>
  <xdr:twoCellAnchor>
    <xdr:from>
      <xdr:col>5</xdr:col>
      <xdr:colOff>142875</xdr:colOff>
      <xdr:row>4</xdr:row>
      <xdr:rowOff>114299</xdr:rowOff>
    </xdr:from>
    <xdr:to>
      <xdr:col>8</xdr:col>
      <xdr:colOff>343412</xdr:colOff>
      <xdr:row>6</xdr:row>
      <xdr:rowOff>180974</xdr:rowOff>
    </xdr:to>
    <xdr:sp macro="" textlink="">
      <xdr:nvSpPr>
        <xdr:cNvPr id="8" name="CuadroTexto 7">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a:off x="7486650" y="1133474"/>
          <a:ext cx="2048387" cy="52387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SST sector Electrico Actividades</a:t>
          </a:r>
        </a:p>
      </xdr:txBody>
    </xdr:sp>
    <xdr:clientData/>
  </xdr:twoCellAnchor>
  <xdr:twoCellAnchor>
    <xdr:from>
      <xdr:col>5</xdr:col>
      <xdr:colOff>142875</xdr:colOff>
      <xdr:row>7</xdr:row>
      <xdr:rowOff>9524</xdr:rowOff>
    </xdr:from>
    <xdr:to>
      <xdr:col>8</xdr:col>
      <xdr:colOff>343412</xdr:colOff>
      <xdr:row>9</xdr:row>
      <xdr:rowOff>19049</xdr:rowOff>
    </xdr:to>
    <xdr:sp macro="" textlink="">
      <xdr:nvSpPr>
        <xdr:cNvPr id="9" name="CuadroTexto 8">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7486650" y="1714499"/>
          <a:ext cx="2048387" cy="46672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Centrales Termicas</a:t>
          </a:r>
        </a:p>
      </xdr:txBody>
    </xdr:sp>
    <xdr:clientData/>
  </xdr:twoCellAnchor>
  <xdr:twoCellAnchor>
    <xdr:from>
      <xdr:col>5</xdr:col>
      <xdr:colOff>152400</xdr:colOff>
      <xdr:row>9</xdr:row>
      <xdr:rowOff>85724</xdr:rowOff>
    </xdr:from>
    <xdr:to>
      <xdr:col>8</xdr:col>
      <xdr:colOff>352425</xdr:colOff>
      <xdr:row>10</xdr:row>
      <xdr:rowOff>209549</xdr:rowOff>
    </xdr:to>
    <xdr:sp macro="" textlink="">
      <xdr:nvSpPr>
        <xdr:cNvPr id="10" name="CuadroTexto 9">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7496175" y="2247899"/>
          <a:ext cx="2047875" cy="52387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Centrales hidroelectricas</a:t>
          </a:r>
        </a:p>
      </xdr:txBody>
    </xdr:sp>
    <xdr:clientData/>
  </xdr:twoCellAnchor>
  <xdr:twoCellAnchor>
    <xdr:from>
      <xdr:col>5</xdr:col>
      <xdr:colOff>142875</xdr:colOff>
      <xdr:row>11</xdr:row>
      <xdr:rowOff>104773</xdr:rowOff>
    </xdr:from>
    <xdr:to>
      <xdr:col>8</xdr:col>
      <xdr:colOff>343412</xdr:colOff>
      <xdr:row>13</xdr:row>
      <xdr:rowOff>219074</xdr:rowOff>
    </xdr:to>
    <xdr:sp macro="" textlink="">
      <xdr:nvSpPr>
        <xdr:cNvPr id="11" name="CuadroTexto 10">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7486650" y="2895598"/>
          <a:ext cx="2048387" cy="571501"/>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Lineas de transmision</a:t>
          </a:r>
        </a:p>
      </xdr:txBody>
    </xdr:sp>
    <xdr:clientData/>
  </xdr:twoCellAnchor>
  <xdr:twoCellAnchor>
    <xdr:from>
      <xdr:col>5</xdr:col>
      <xdr:colOff>142875</xdr:colOff>
      <xdr:row>16</xdr:row>
      <xdr:rowOff>104775</xdr:rowOff>
    </xdr:from>
    <xdr:to>
      <xdr:col>8</xdr:col>
      <xdr:colOff>343412</xdr:colOff>
      <xdr:row>18</xdr:row>
      <xdr:rowOff>819</xdr:rowOff>
    </xdr:to>
    <xdr:sp macro="" textlink="">
      <xdr:nvSpPr>
        <xdr:cNvPr id="12" name="CuadroTexto 11">
          <a:hlinkClick xmlns:r="http://schemas.openxmlformats.org/officeDocument/2006/relationships" r:id="rId9"/>
          <a:extLst>
            <a:ext uri="{FF2B5EF4-FFF2-40B4-BE49-F238E27FC236}">
              <a16:creationId xmlns:a16="http://schemas.microsoft.com/office/drawing/2014/main" id="{00000000-0008-0000-0000-00000C000000}"/>
            </a:ext>
          </a:extLst>
        </xdr:cNvPr>
        <xdr:cNvSpPr txBox="1"/>
      </xdr:nvSpPr>
      <xdr:spPr>
        <a:xfrm>
          <a:off x="7486650" y="4038600"/>
          <a:ext cx="2048387" cy="353244"/>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Comercialización</a:t>
          </a:r>
        </a:p>
      </xdr:txBody>
    </xdr:sp>
    <xdr:clientData/>
  </xdr:twoCellAnchor>
  <xdr:twoCellAnchor>
    <xdr:from>
      <xdr:col>5</xdr:col>
      <xdr:colOff>114300</xdr:colOff>
      <xdr:row>18</xdr:row>
      <xdr:rowOff>104775</xdr:rowOff>
    </xdr:from>
    <xdr:to>
      <xdr:col>8</xdr:col>
      <xdr:colOff>314837</xdr:colOff>
      <xdr:row>20</xdr:row>
      <xdr:rowOff>819</xdr:rowOff>
    </xdr:to>
    <xdr:sp macro="" textlink="">
      <xdr:nvSpPr>
        <xdr:cNvPr id="13" name="CuadroTexto 12">
          <a:hlinkClick xmlns:r="http://schemas.openxmlformats.org/officeDocument/2006/relationships" r:id="rId10"/>
          <a:extLst>
            <a:ext uri="{FF2B5EF4-FFF2-40B4-BE49-F238E27FC236}">
              <a16:creationId xmlns:a16="http://schemas.microsoft.com/office/drawing/2014/main" id="{00000000-0008-0000-0000-00000D000000}"/>
            </a:ext>
          </a:extLst>
        </xdr:cNvPr>
        <xdr:cNvSpPr txBox="1"/>
      </xdr:nvSpPr>
      <xdr:spPr>
        <a:xfrm>
          <a:off x="7458075" y="4495800"/>
          <a:ext cx="2048387" cy="353244"/>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Resultados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4</xdr:row>
      <xdr:rowOff>133350</xdr:rowOff>
    </xdr:from>
    <xdr:to>
      <xdr:col>5</xdr:col>
      <xdr:colOff>512</xdr:colOff>
      <xdr:row>6</xdr:row>
      <xdr:rowOff>96069</xdr:rowOff>
    </xdr:to>
    <xdr:sp macro="" textlink="">
      <xdr:nvSpPr>
        <xdr:cNvPr id="2" name="CuadroTexto 1">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5029200" y="133350"/>
          <a:ext cx="2048387"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twoCellAnchor>
    <xdr:from>
      <xdr:col>0</xdr:col>
      <xdr:colOff>161926</xdr:colOff>
      <xdr:row>1</xdr:row>
      <xdr:rowOff>28575</xdr:rowOff>
    </xdr:from>
    <xdr:to>
      <xdr:col>1</xdr:col>
      <xdr:colOff>5838825</xdr:colOff>
      <xdr:row>3</xdr:row>
      <xdr:rowOff>190501</xdr:rowOff>
    </xdr:to>
    <xdr:grpSp>
      <xdr:nvGrpSpPr>
        <xdr:cNvPr id="10" name="Grupo 9">
          <a:extLst>
            <a:ext uri="{FF2B5EF4-FFF2-40B4-BE49-F238E27FC236}">
              <a16:creationId xmlns:a16="http://schemas.microsoft.com/office/drawing/2014/main" id="{00000000-0008-0000-0100-00000A000000}"/>
            </a:ext>
          </a:extLst>
        </xdr:cNvPr>
        <xdr:cNvGrpSpPr/>
      </xdr:nvGrpSpPr>
      <xdr:grpSpPr>
        <a:xfrm>
          <a:off x="161926" y="295275"/>
          <a:ext cx="6621779" cy="603886"/>
          <a:chOff x="333375" y="55566"/>
          <a:chExt cx="6521251" cy="885714"/>
        </a:xfrm>
      </xdr:grpSpPr>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333375" y="55566"/>
            <a:ext cx="1057143" cy="885714"/>
          </a:xfrm>
          <a:prstGeom prst="rect">
            <a:avLst/>
          </a:prstGeom>
        </xdr:spPr>
      </xdr:pic>
      <xdr:pic>
        <xdr:nvPicPr>
          <xdr:cNvPr id="12" name="Imagen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a:stretch>
            <a:fillRect/>
          </a:stretch>
        </xdr:blipFill>
        <xdr:spPr>
          <a:xfrm>
            <a:off x="5254626" y="55566"/>
            <a:ext cx="1600000" cy="885714"/>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184355</xdr:colOff>
      <xdr:row>5</xdr:row>
      <xdr:rowOff>92178</xdr:rowOff>
    </xdr:from>
    <xdr:to>
      <xdr:col>13</xdr:col>
      <xdr:colOff>51209</xdr:colOff>
      <xdr:row>5</xdr:row>
      <xdr:rowOff>512097</xdr:rowOff>
    </xdr:to>
    <xdr:sp macro="" textlink="">
      <xdr:nvSpPr>
        <xdr:cNvPr id="2" name="CuadroTexto 1">
          <a:hlinkClick xmlns:r="http://schemas.openxmlformats.org/officeDocument/2006/relationships" r:id="rId1"/>
          <a:extLst>
            <a:ext uri="{FF2B5EF4-FFF2-40B4-BE49-F238E27FC236}">
              <a16:creationId xmlns:a16="http://schemas.microsoft.com/office/drawing/2014/main" id="{00000000-0008-0000-0200-000002000000}"/>
            </a:ext>
          </a:extLst>
        </xdr:cNvPr>
        <xdr:cNvSpPr txBox="1"/>
      </xdr:nvSpPr>
      <xdr:spPr>
        <a:xfrm>
          <a:off x="7087420" y="92178"/>
          <a:ext cx="2048386"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twoCellAnchor>
    <xdr:from>
      <xdr:col>1</xdr:col>
      <xdr:colOff>1542781</xdr:colOff>
      <xdr:row>0</xdr:row>
      <xdr:rowOff>217015</xdr:rowOff>
    </xdr:from>
    <xdr:to>
      <xdr:col>7</xdr:col>
      <xdr:colOff>3438239</xdr:colOff>
      <xdr:row>3</xdr:row>
      <xdr:rowOff>163788</xdr:rowOff>
    </xdr:to>
    <xdr:grpSp>
      <xdr:nvGrpSpPr>
        <xdr:cNvPr id="10" name="Grupo 9">
          <a:extLst>
            <a:ext uri="{FF2B5EF4-FFF2-40B4-BE49-F238E27FC236}">
              <a16:creationId xmlns:a16="http://schemas.microsoft.com/office/drawing/2014/main" id="{00000000-0008-0000-0200-00000A000000}"/>
            </a:ext>
          </a:extLst>
        </xdr:cNvPr>
        <xdr:cNvGrpSpPr/>
      </xdr:nvGrpSpPr>
      <xdr:grpSpPr>
        <a:xfrm>
          <a:off x="2042314" y="217015"/>
          <a:ext cx="6704525" cy="607173"/>
          <a:chOff x="333375" y="55566"/>
          <a:chExt cx="6521251" cy="885714"/>
        </a:xfrm>
      </xdr:grpSpPr>
      <xdr:pic>
        <xdr:nvPicPr>
          <xdr:cNvPr id="11" name="Imagen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333375" y="55566"/>
            <a:ext cx="1057143" cy="885714"/>
          </a:xfrm>
          <a:prstGeom prst="rect">
            <a:avLst/>
          </a:prstGeom>
        </xdr:spPr>
      </xdr:pic>
      <xdr:pic>
        <xdr:nvPicPr>
          <xdr:cNvPr id="12" name="Imagen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5254626" y="55566"/>
            <a:ext cx="1600000" cy="885714"/>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184355</xdr:colOff>
      <xdr:row>5</xdr:row>
      <xdr:rowOff>92177</xdr:rowOff>
    </xdr:from>
    <xdr:to>
      <xdr:col>13</xdr:col>
      <xdr:colOff>51209</xdr:colOff>
      <xdr:row>7</xdr:row>
      <xdr:rowOff>94203</xdr:rowOff>
    </xdr:to>
    <xdr:sp macro="" textlink="">
      <xdr:nvSpPr>
        <xdr:cNvPr id="2" name="CuadroTexto 1">
          <a:hlinkClick xmlns:r="http://schemas.openxmlformats.org/officeDocument/2006/relationships" r:id="rId1"/>
          <a:extLst>
            <a:ext uri="{FF2B5EF4-FFF2-40B4-BE49-F238E27FC236}">
              <a16:creationId xmlns:a16="http://schemas.microsoft.com/office/drawing/2014/main" id="{00000000-0008-0000-0300-000002000000}"/>
            </a:ext>
          </a:extLst>
        </xdr:cNvPr>
        <xdr:cNvSpPr txBox="1"/>
      </xdr:nvSpPr>
      <xdr:spPr>
        <a:xfrm>
          <a:off x="8505646" y="1076078"/>
          <a:ext cx="2033530" cy="399773"/>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twoCellAnchor>
    <xdr:from>
      <xdr:col>1</xdr:col>
      <xdr:colOff>923924</xdr:colOff>
      <xdr:row>1</xdr:row>
      <xdr:rowOff>38100</xdr:rowOff>
    </xdr:from>
    <xdr:to>
      <xdr:col>8</xdr:col>
      <xdr:colOff>438150</xdr:colOff>
      <xdr:row>3</xdr:row>
      <xdr:rowOff>190499</xdr:rowOff>
    </xdr:to>
    <xdr:grpSp>
      <xdr:nvGrpSpPr>
        <xdr:cNvPr id="6" name="Grupo 5">
          <a:extLst>
            <a:ext uri="{FF2B5EF4-FFF2-40B4-BE49-F238E27FC236}">
              <a16:creationId xmlns:a16="http://schemas.microsoft.com/office/drawing/2014/main" id="{00000000-0008-0000-0300-000006000000}"/>
            </a:ext>
          </a:extLst>
        </xdr:cNvPr>
        <xdr:cNvGrpSpPr/>
      </xdr:nvGrpSpPr>
      <xdr:grpSpPr>
        <a:xfrm>
          <a:off x="1457324" y="266700"/>
          <a:ext cx="4787266" cy="533399"/>
          <a:chOff x="333375" y="55566"/>
          <a:chExt cx="6521251" cy="885714"/>
        </a:xfrm>
      </xdr:grpSpPr>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333375" y="55566"/>
            <a:ext cx="1057143" cy="885714"/>
          </a:xfrm>
          <a:prstGeom prst="rect">
            <a:avLst/>
          </a:prstGeom>
        </xdr:spPr>
      </xdr:pic>
      <xdr:pic>
        <xdr:nvPicPr>
          <xdr:cNvPr id="8" name="Imagen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5254626" y="55566"/>
            <a:ext cx="1600000" cy="885714"/>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184355</xdr:colOff>
      <xdr:row>5</xdr:row>
      <xdr:rowOff>92178</xdr:rowOff>
    </xdr:from>
    <xdr:to>
      <xdr:col>13</xdr:col>
      <xdr:colOff>51209</xdr:colOff>
      <xdr:row>5</xdr:row>
      <xdr:rowOff>512097</xdr:rowOff>
    </xdr:to>
    <xdr:sp macro="" textlink="">
      <xdr:nvSpPr>
        <xdr:cNvPr id="2" name="CuadroTexto 1">
          <a:hlinkClick xmlns:r="http://schemas.openxmlformats.org/officeDocument/2006/relationships" r:id="rId1"/>
          <a:extLst>
            <a:ext uri="{FF2B5EF4-FFF2-40B4-BE49-F238E27FC236}">
              <a16:creationId xmlns:a16="http://schemas.microsoft.com/office/drawing/2014/main" id="{00000000-0008-0000-0400-000002000000}"/>
            </a:ext>
          </a:extLst>
        </xdr:cNvPr>
        <xdr:cNvSpPr txBox="1"/>
      </xdr:nvSpPr>
      <xdr:spPr>
        <a:xfrm>
          <a:off x="11138105" y="777978"/>
          <a:ext cx="2038554"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twoCellAnchor>
    <xdr:from>
      <xdr:col>2</xdr:col>
      <xdr:colOff>447675</xdr:colOff>
      <xdr:row>1</xdr:row>
      <xdr:rowOff>57150</xdr:rowOff>
    </xdr:from>
    <xdr:to>
      <xdr:col>7</xdr:col>
      <xdr:colOff>580605</xdr:colOff>
      <xdr:row>3</xdr:row>
      <xdr:rowOff>38100</xdr:rowOff>
    </xdr:to>
    <xdr:grpSp>
      <xdr:nvGrpSpPr>
        <xdr:cNvPr id="6" name="Grupo 5">
          <a:extLst>
            <a:ext uri="{FF2B5EF4-FFF2-40B4-BE49-F238E27FC236}">
              <a16:creationId xmlns:a16="http://schemas.microsoft.com/office/drawing/2014/main" id="{00000000-0008-0000-0400-000006000000}"/>
            </a:ext>
          </a:extLst>
        </xdr:cNvPr>
        <xdr:cNvGrpSpPr/>
      </xdr:nvGrpSpPr>
      <xdr:grpSpPr>
        <a:xfrm>
          <a:off x="2207895" y="247650"/>
          <a:ext cx="3340950" cy="361950"/>
          <a:chOff x="333375" y="55566"/>
          <a:chExt cx="6521251" cy="885714"/>
        </a:xfrm>
      </xdr:grpSpPr>
      <xdr:pic>
        <xdr:nvPicPr>
          <xdr:cNvPr id="7" name="Imagen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a:stretch>
            <a:fillRect/>
          </a:stretch>
        </xdr:blipFill>
        <xdr:spPr>
          <a:xfrm>
            <a:off x="333375" y="55566"/>
            <a:ext cx="1057143" cy="885714"/>
          </a:xfrm>
          <a:prstGeom prst="rect">
            <a:avLst/>
          </a:prstGeom>
        </xdr:spPr>
      </xdr:pic>
      <xdr:pic>
        <xdr:nvPicPr>
          <xdr:cNvPr id="8" name="Imagen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3"/>
          <a:stretch>
            <a:fillRect/>
          </a:stretch>
        </xdr:blipFill>
        <xdr:spPr>
          <a:xfrm>
            <a:off x="5254626" y="55566"/>
            <a:ext cx="1600000" cy="885714"/>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184355</xdr:colOff>
      <xdr:row>4</xdr:row>
      <xdr:rowOff>92178</xdr:rowOff>
    </xdr:from>
    <xdr:to>
      <xdr:col>13</xdr:col>
      <xdr:colOff>51209</xdr:colOff>
      <xdr:row>4</xdr:row>
      <xdr:rowOff>512097</xdr:rowOff>
    </xdr:to>
    <xdr:sp macro="" textlink="">
      <xdr:nvSpPr>
        <xdr:cNvPr id="2" name="CuadroTexto 1">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11138105" y="777978"/>
          <a:ext cx="2038554"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twoCellAnchor>
    <xdr:from>
      <xdr:col>2</xdr:col>
      <xdr:colOff>447675</xdr:colOff>
      <xdr:row>1</xdr:row>
      <xdr:rowOff>95250</xdr:rowOff>
    </xdr:from>
    <xdr:to>
      <xdr:col>7</xdr:col>
      <xdr:colOff>799680</xdr:colOff>
      <xdr:row>3</xdr:row>
      <xdr:rowOff>76200</xdr:rowOff>
    </xdr:to>
    <xdr:grpSp>
      <xdr:nvGrpSpPr>
        <xdr:cNvPr id="6" name="Grupo 5">
          <a:extLst>
            <a:ext uri="{FF2B5EF4-FFF2-40B4-BE49-F238E27FC236}">
              <a16:creationId xmlns:a16="http://schemas.microsoft.com/office/drawing/2014/main" id="{00000000-0008-0000-0500-000006000000}"/>
            </a:ext>
          </a:extLst>
        </xdr:cNvPr>
        <xdr:cNvGrpSpPr/>
      </xdr:nvGrpSpPr>
      <xdr:grpSpPr>
        <a:xfrm>
          <a:off x="2200275" y="285750"/>
          <a:ext cx="3339045" cy="361950"/>
          <a:chOff x="333375" y="55566"/>
          <a:chExt cx="6521251" cy="885714"/>
        </a:xfrm>
      </xdr:grpSpPr>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a:stretch>
            <a:fillRect/>
          </a:stretch>
        </xdr:blipFill>
        <xdr:spPr>
          <a:xfrm>
            <a:off x="333375" y="55566"/>
            <a:ext cx="1057143" cy="885714"/>
          </a:xfrm>
          <a:prstGeom prst="rect">
            <a:avLst/>
          </a:prstGeom>
        </xdr:spPr>
      </xdr:pic>
      <xdr:pic>
        <xdr:nvPicPr>
          <xdr:cNvPr id="8" name="Imagen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3"/>
          <a:stretch>
            <a:fillRect/>
          </a:stretch>
        </xdr:blipFill>
        <xdr:spPr>
          <a:xfrm>
            <a:off x="5254626" y="55566"/>
            <a:ext cx="1600000" cy="885714"/>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184355</xdr:colOff>
      <xdr:row>4</xdr:row>
      <xdr:rowOff>92178</xdr:rowOff>
    </xdr:from>
    <xdr:to>
      <xdr:col>13</xdr:col>
      <xdr:colOff>51209</xdr:colOff>
      <xdr:row>4</xdr:row>
      <xdr:rowOff>512097</xdr:rowOff>
    </xdr:to>
    <xdr:sp macro="" textlink="">
      <xdr:nvSpPr>
        <xdr:cNvPr id="2" name="CuadroTexto 1">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11138105" y="777978"/>
          <a:ext cx="2038554"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twoCellAnchor>
    <xdr:from>
      <xdr:col>2</xdr:col>
      <xdr:colOff>390525</xdr:colOff>
      <xdr:row>1</xdr:row>
      <xdr:rowOff>76200</xdr:rowOff>
    </xdr:from>
    <xdr:to>
      <xdr:col>7</xdr:col>
      <xdr:colOff>256755</xdr:colOff>
      <xdr:row>3</xdr:row>
      <xdr:rowOff>57150</xdr:rowOff>
    </xdr:to>
    <xdr:grpSp>
      <xdr:nvGrpSpPr>
        <xdr:cNvPr id="6" name="Grupo 5">
          <a:extLst>
            <a:ext uri="{FF2B5EF4-FFF2-40B4-BE49-F238E27FC236}">
              <a16:creationId xmlns:a16="http://schemas.microsoft.com/office/drawing/2014/main" id="{00000000-0008-0000-0600-000006000000}"/>
            </a:ext>
          </a:extLst>
        </xdr:cNvPr>
        <xdr:cNvGrpSpPr/>
      </xdr:nvGrpSpPr>
      <xdr:grpSpPr>
        <a:xfrm>
          <a:off x="2066925" y="266700"/>
          <a:ext cx="3318090" cy="361950"/>
          <a:chOff x="333375" y="55566"/>
          <a:chExt cx="6521251" cy="885714"/>
        </a:xfrm>
      </xdr:grpSpPr>
      <xdr:pic>
        <xdr:nvPicPr>
          <xdr:cNvPr id="7" name="Imagen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a:stretch>
            <a:fillRect/>
          </a:stretch>
        </xdr:blipFill>
        <xdr:spPr>
          <a:xfrm>
            <a:off x="333375" y="55566"/>
            <a:ext cx="1057143" cy="885714"/>
          </a:xfrm>
          <a:prstGeom prst="rect">
            <a:avLst/>
          </a:prstGeom>
        </xdr:spPr>
      </xdr:pic>
      <xdr:pic>
        <xdr:nvPicPr>
          <xdr:cNvPr id="8" name="Imagen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3"/>
          <a:stretch>
            <a:fillRect/>
          </a:stretch>
        </xdr:blipFill>
        <xdr:spPr>
          <a:xfrm>
            <a:off x="5254626" y="55566"/>
            <a:ext cx="1600000" cy="885714"/>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184355</xdr:colOff>
      <xdr:row>5</xdr:row>
      <xdr:rowOff>92178</xdr:rowOff>
    </xdr:from>
    <xdr:to>
      <xdr:col>13</xdr:col>
      <xdr:colOff>51209</xdr:colOff>
      <xdr:row>5</xdr:row>
      <xdr:rowOff>512097</xdr:rowOff>
    </xdr:to>
    <xdr:sp macro="" textlink="">
      <xdr:nvSpPr>
        <xdr:cNvPr id="6" name="CuadroTexto 5">
          <a:hlinkClick xmlns:r="http://schemas.openxmlformats.org/officeDocument/2006/relationships" r:id="rId1"/>
          <a:extLst>
            <a:ext uri="{FF2B5EF4-FFF2-40B4-BE49-F238E27FC236}">
              <a16:creationId xmlns:a16="http://schemas.microsoft.com/office/drawing/2014/main" id="{00000000-0008-0000-0700-000006000000}"/>
            </a:ext>
          </a:extLst>
        </xdr:cNvPr>
        <xdr:cNvSpPr txBox="1"/>
      </xdr:nvSpPr>
      <xdr:spPr>
        <a:xfrm>
          <a:off x="11138105" y="777978"/>
          <a:ext cx="2038554"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2157412</xdr:colOff>
      <xdr:row>12</xdr:row>
      <xdr:rowOff>109537</xdr:rowOff>
    </xdr:from>
    <xdr:to>
      <xdr:col>3</xdr:col>
      <xdr:colOff>1123950</xdr:colOff>
      <xdr:row>33</xdr:row>
      <xdr:rowOff>9526</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333375</xdr:colOff>
      <xdr:row>2</xdr:row>
      <xdr:rowOff>180975</xdr:rowOff>
    </xdr:from>
    <xdr:to>
      <xdr:col>8</xdr:col>
      <xdr:colOff>85929</xdr:colOff>
      <xdr:row>4</xdr:row>
      <xdr:rowOff>200844</xdr:rowOff>
    </xdr:to>
    <xdr:sp macro="" textlink="">
      <xdr:nvSpPr>
        <xdr:cNvPr id="3" name="CuadroTexto 2">
          <a:hlinkClick xmlns:r="http://schemas.openxmlformats.org/officeDocument/2006/relationships" r:id="rId2"/>
          <a:extLst>
            <a:ext uri="{FF2B5EF4-FFF2-40B4-BE49-F238E27FC236}">
              <a16:creationId xmlns:a16="http://schemas.microsoft.com/office/drawing/2014/main" id="{00000000-0008-0000-0900-000003000000}"/>
            </a:ext>
          </a:extLst>
        </xdr:cNvPr>
        <xdr:cNvSpPr txBox="1"/>
      </xdr:nvSpPr>
      <xdr:spPr>
        <a:xfrm>
          <a:off x="10401300" y="571500"/>
          <a:ext cx="2038554" cy="41991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latin typeface="Arial" panose="020B0604020202020204" pitchFamily="34" charset="0"/>
              <a:cs typeface="Arial" panose="020B0604020202020204" pitchFamily="34" charset="0"/>
            </a:rPr>
            <a:t>Volver a Portada</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H25"/>
  <sheetViews>
    <sheetView showGridLines="0" topLeftCell="B1" workbookViewId="0">
      <selection activeCell="C2" sqref="C2:D2"/>
    </sheetView>
  </sheetViews>
  <sheetFormatPr baseColWidth="10" defaultColWidth="11.44140625" defaultRowHeight="17.399999999999999" x14ac:dyDescent="0.4"/>
  <cols>
    <col min="1" max="1" width="4.77734375" style="1" customWidth="1"/>
    <col min="2" max="2" width="3.5546875" style="1" customWidth="1"/>
    <col min="3" max="3" width="44" style="1" customWidth="1"/>
    <col min="4" max="4" width="53.21875" style="1" customWidth="1"/>
    <col min="5" max="5" width="4.44140625" style="1" customWidth="1"/>
    <col min="6" max="6" width="4.77734375" style="1" customWidth="1"/>
    <col min="7" max="16384" width="11.44140625" style="1"/>
  </cols>
  <sheetData>
    <row r="4" spans="2:8" ht="26.25" customHeight="1" x14ac:dyDescent="0.4">
      <c r="B4" s="76" t="s">
        <v>11</v>
      </c>
      <c r="C4" s="77"/>
      <c r="D4" s="77"/>
      <c r="E4" s="77"/>
    </row>
    <row r="5" spans="2:8" x14ac:dyDescent="0.4">
      <c r="B5" s="75" t="s">
        <v>12</v>
      </c>
      <c r="C5" s="75"/>
      <c r="D5" s="75"/>
      <c r="E5" s="75"/>
    </row>
    <row r="6" spans="2:8" x14ac:dyDescent="0.4">
      <c r="B6" s="75"/>
      <c r="C6" s="75"/>
      <c r="D6" s="75"/>
      <c r="E6" s="75"/>
    </row>
    <row r="7" spans="2:8" x14ac:dyDescent="0.4">
      <c r="B7" s="75"/>
      <c r="C7" s="75"/>
      <c r="D7" s="75"/>
      <c r="E7" s="75"/>
    </row>
    <row r="8" spans="2:8" x14ac:dyDescent="0.4">
      <c r="B8" s="4"/>
      <c r="C8" s="5" t="s">
        <v>0</v>
      </c>
      <c r="D8" s="6"/>
      <c r="E8" s="4"/>
    </row>
    <row r="9" spans="2:8" x14ac:dyDescent="0.4">
      <c r="B9" s="4"/>
      <c r="C9" s="5" t="s">
        <v>1</v>
      </c>
      <c r="D9" s="6"/>
      <c r="E9" s="4"/>
    </row>
    <row r="10" spans="2:8" ht="31.2" x14ac:dyDescent="0.4">
      <c r="B10" s="4"/>
      <c r="C10" s="5" t="s">
        <v>613</v>
      </c>
      <c r="D10" s="6"/>
      <c r="E10" s="4"/>
    </row>
    <row r="11" spans="2:8" x14ac:dyDescent="0.4">
      <c r="B11" s="4"/>
      <c r="C11" s="5" t="s">
        <v>2</v>
      </c>
      <c r="D11" s="7"/>
      <c r="E11" s="4"/>
    </row>
    <row r="12" spans="2:8" x14ac:dyDescent="0.4">
      <c r="B12" s="4"/>
      <c r="C12" s="5" t="s">
        <v>3</v>
      </c>
      <c r="D12" s="6"/>
      <c r="E12" s="4"/>
    </row>
    <row r="13" spans="2:8" x14ac:dyDescent="0.4">
      <c r="B13" s="4"/>
      <c r="C13" s="5" t="s">
        <v>4</v>
      </c>
      <c r="D13" s="6"/>
      <c r="E13" s="4"/>
      <c r="H13" s="2"/>
    </row>
    <row r="14" spans="2:8" x14ac:dyDescent="0.4">
      <c r="B14" s="4"/>
      <c r="C14" s="5" t="s">
        <v>5</v>
      </c>
      <c r="D14" s="6"/>
      <c r="E14" s="4"/>
    </row>
    <row r="15" spans="2:8" x14ac:dyDescent="0.4">
      <c r="B15" s="4"/>
      <c r="C15" s="5" t="s">
        <v>4</v>
      </c>
      <c r="D15" s="6"/>
      <c r="E15" s="4"/>
    </row>
    <row r="16" spans="2:8" x14ac:dyDescent="0.4">
      <c r="B16" s="4"/>
      <c r="C16" s="5" t="s">
        <v>6</v>
      </c>
      <c r="D16" s="6"/>
      <c r="E16" s="4"/>
    </row>
    <row r="17" spans="2:7" x14ac:dyDescent="0.4">
      <c r="B17" s="4"/>
      <c r="C17" s="5" t="s">
        <v>7</v>
      </c>
      <c r="D17" s="6"/>
      <c r="E17" s="4"/>
      <c r="F17" s="3"/>
      <c r="G17" s="3"/>
    </row>
    <row r="18" spans="2:7" x14ac:dyDescent="0.4">
      <c r="B18" s="4"/>
      <c r="C18" s="5" t="s">
        <v>9</v>
      </c>
      <c r="D18" s="6"/>
      <c r="E18" s="4"/>
    </row>
    <row r="19" spans="2:7" x14ac:dyDescent="0.4">
      <c r="B19" s="4"/>
      <c r="C19" s="5" t="s">
        <v>10</v>
      </c>
      <c r="D19" s="6"/>
      <c r="E19" s="4"/>
    </row>
    <row r="20" spans="2:7" x14ac:dyDescent="0.4">
      <c r="B20" s="78" t="s">
        <v>752</v>
      </c>
      <c r="C20" s="78"/>
      <c r="D20" s="78"/>
      <c r="E20" s="78"/>
    </row>
    <row r="21" spans="2:7" ht="18" customHeight="1" x14ac:dyDescent="0.4">
      <c r="B21" s="78"/>
      <c r="C21" s="78"/>
      <c r="D21" s="78"/>
      <c r="E21" s="78"/>
    </row>
    <row r="22" spans="2:7" x14ac:dyDescent="0.4">
      <c r="B22" s="78"/>
      <c r="C22" s="78"/>
      <c r="D22" s="78"/>
      <c r="E22" s="78"/>
    </row>
    <row r="23" spans="2:7" x14ac:dyDescent="0.4">
      <c r="B23" s="78"/>
      <c r="C23" s="78"/>
      <c r="D23" s="78"/>
      <c r="E23" s="78"/>
    </row>
    <row r="24" spans="2:7" x14ac:dyDescent="0.4">
      <c r="B24" s="78"/>
      <c r="C24" s="78"/>
      <c r="D24" s="78"/>
      <c r="E24" s="78"/>
    </row>
    <row r="25" spans="2:7" ht="29.25" customHeight="1" x14ac:dyDescent="0.4">
      <c r="B25" s="78"/>
      <c r="C25" s="78"/>
      <c r="D25" s="78"/>
      <c r="E25" s="78"/>
    </row>
  </sheetData>
  <mergeCells count="3">
    <mergeCell ref="B5:E7"/>
    <mergeCell ref="B4:E4"/>
    <mergeCell ref="B20:E2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activeCell="A5" sqref="A5"/>
    </sheetView>
  </sheetViews>
  <sheetFormatPr baseColWidth="10" defaultColWidth="11.44140625" defaultRowHeight="17.399999999999999" x14ac:dyDescent="0.3"/>
  <cols>
    <col min="1" max="1" width="13.77734375" style="14" customWidth="1"/>
    <col min="2" max="2" width="95" style="14" customWidth="1"/>
    <col min="3" max="16384" width="11.44140625" style="14"/>
  </cols>
  <sheetData>
    <row r="1" spans="1:2" ht="21" customHeight="1" x14ac:dyDescent="0.3">
      <c r="A1" s="79"/>
      <c r="B1" s="79"/>
    </row>
    <row r="2" spans="1:2" x14ac:dyDescent="0.3">
      <c r="A2" s="80" t="s">
        <v>753</v>
      </c>
      <c r="B2" s="81"/>
    </row>
    <row r="3" spans="1:2" x14ac:dyDescent="0.3">
      <c r="A3" s="81"/>
      <c r="B3" s="81"/>
    </row>
    <row r="4" spans="1:2" ht="27" customHeight="1" x14ac:dyDescent="0.3">
      <c r="A4" s="81"/>
      <c r="B4" s="81"/>
    </row>
    <row r="5" spans="1:2" x14ac:dyDescent="0.3">
      <c r="A5" s="16" t="s">
        <v>8</v>
      </c>
      <c r="B5" s="16" t="s">
        <v>612</v>
      </c>
    </row>
    <row r="6" spans="1:2" x14ac:dyDescent="0.3">
      <c r="A6" s="72" t="s">
        <v>100</v>
      </c>
      <c r="B6" s="73" t="s">
        <v>723</v>
      </c>
    </row>
    <row r="7" spans="1:2" x14ac:dyDescent="0.3">
      <c r="A7" s="72" t="s">
        <v>101</v>
      </c>
      <c r="B7" s="73" t="s">
        <v>102</v>
      </c>
    </row>
    <row r="8" spans="1:2" x14ac:dyDescent="0.3">
      <c r="A8" s="74" t="s">
        <v>105</v>
      </c>
      <c r="B8" s="73" t="s">
        <v>106</v>
      </c>
    </row>
    <row r="9" spans="1:2" x14ac:dyDescent="0.3">
      <c r="A9" s="72" t="s">
        <v>107</v>
      </c>
      <c r="B9" s="73" t="s">
        <v>108</v>
      </c>
    </row>
    <row r="10" spans="1:2" x14ac:dyDescent="0.3">
      <c r="A10" s="17"/>
      <c r="B10" s="15"/>
    </row>
    <row r="11" spans="1:2" x14ac:dyDescent="0.3">
      <c r="A11" s="17"/>
      <c r="B11" s="15"/>
    </row>
    <row r="12" spans="1:2" x14ac:dyDescent="0.3">
      <c r="A12" s="15"/>
      <c r="B12" s="15"/>
    </row>
    <row r="13" spans="1:2" x14ac:dyDescent="0.3">
      <c r="A13" s="15"/>
      <c r="B13" s="15"/>
    </row>
    <row r="14" spans="1:2" x14ac:dyDescent="0.3">
      <c r="A14" s="15"/>
      <c r="B14" s="15"/>
    </row>
  </sheetData>
  <mergeCells count="2">
    <mergeCell ref="A1:B1"/>
    <mergeCell ref="A2:B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5"/>
  <sheetViews>
    <sheetView showGridLines="0" tabSelected="1" topLeftCell="A120" zoomScale="90" zoomScaleNormal="90" workbookViewId="0">
      <selection activeCell="M130" sqref="M130"/>
    </sheetView>
  </sheetViews>
  <sheetFormatPr baseColWidth="10" defaultColWidth="10.77734375" defaultRowHeight="17.399999999999999" x14ac:dyDescent="0.3"/>
  <cols>
    <col min="1" max="1" width="7.21875" style="12" customWidth="1"/>
    <col min="2" max="2" width="24.21875" style="12" customWidth="1"/>
    <col min="3" max="3" width="7.44140625" style="9" customWidth="1"/>
    <col min="4" max="4" width="7.21875" style="9" customWidth="1"/>
    <col min="5" max="6" width="10.77734375" style="9"/>
    <col min="7" max="7" width="9.77734375" style="9" customWidth="1"/>
    <col min="8" max="8" width="53.21875" style="9" customWidth="1"/>
    <col min="9" max="9" width="25.5546875" style="12" customWidth="1"/>
    <col min="10" max="10" width="14.77734375" style="12" customWidth="1"/>
    <col min="11" max="16384" width="10.77734375" style="9"/>
  </cols>
  <sheetData>
    <row r="1" spans="1:11" x14ac:dyDescent="0.3">
      <c r="A1" s="92"/>
      <c r="B1" s="92"/>
      <c r="C1" s="92"/>
      <c r="D1" s="92"/>
      <c r="E1" s="92"/>
      <c r="F1" s="92"/>
      <c r="G1" s="92"/>
      <c r="H1" s="92"/>
      <c r="I1" s="92"/>
      <c r="J1" s="92"/>
    </row>
    <row r="5" spans="1:11" x14ac:dyDescent="0.3">
      <c r="A5" s="69" t="s">
        <v>761</v>
      </c>
    </row>
    <row r="6" spans="1:11" ht="59.25" customHeight="1" x14ac:dyDescent="0.3">
      <c r="A6" s="95" t="s">
        <v>11</v>
      </c>
      <c r="B6" s="95"/>
      <c r="C6" s="95"/>
      <c r="D6" s="95"/>
      <c r="E6" s="95"/>
      <c r="F6" s="95"/>
      <c r="G6" s="95"/>
      <c r="H6" s="95"/>
      <c r="I6" s="95"/>
      <c r="J6" s="95"/>
      <c r="K6" s="8"/>
    </row>
    <row r="7" spans="1:11" s="10" customFormat="1" ht="21.75" customHeight="1" x14ac:dyDescent="0.3">
      <c r="A7" s="13" t="s">
        <v>13</v>
      </c>
      <c r="B7" s="18" t="s">
        <v>14</v>
      </c>
      <c r="C7" s="93" t="s">
        <v>740</v>
      </c>
      <c r="D7" s="94"/>
      <c r="E7" s="94"/>
      <c r="F7" s="94"/>
      <c r="G7" s="94"/>
      <c r="H7" s="94"/>
      <c r="I7" s="26" t="s">
        <v>620</v>
      </c>
      <c r="J7" s="26" t="s">
        <v>621</v>
      </c>
    </row>
    <row r="8" spans="1:11" ht="75.599999999999994" customHeight="1" x14ac:dyDescent="0.3">
      <c r="A8" s="19">
        <v>1</v>
      </c>
      <c r="B8" s="20" t="s">
        <v>15</v>
      </c>
      <c r="C8" s="86" t="s">
        <v>762</v>
      </c>
      <c r="D8" s="89"/>
      <c r="E8" s="89"/>
      <c r="F8" s="89"/>
      <c r="G8" s="89"/>
      <c r="H8" s="90"/>
      <c r="I8" s="28" t="s">
        <v>617</v>
      </c>
      <c r="J8" s="131">
        <f>IF(I8="No cumple",0,IF(I8="No aplica",2,IF(I8="Cumple totalmente",2,IF(I8="Cumple parcialmente",1))))</f>
        <v>2</v>
      </c>
    </row>
    <row r="9" spans="1:11" ht="30" customHeight="1" x14ac:dyDescent="0.3">
      <c r="A9" s="21">
        <v>2</v>
      </c>
      <c r="B9" s="20" t="s">
        <v>15</v>
      </c>
      <c r="C9" s="86" t="s">
        <v>16</v>
      </c>
      <c r="D9" s="89"/>
      <c r="E9" s="89"/>
      <c r="F9" s="89"/>
      <c r="G9" s="89"/>
      <c r="H9" s="90"/>
      <c r="I9" s="28" t="s">
        <v>615</v>
      </c>
      <c r="J9" s="131">
        <f t="shared" ref="J9:J72" si="0">IF(I9="No cumple",0,IF(I9="No aplica",2,IF(I9="Cumple totalmente",2,IF(I9="Cumple parcialmente",1))))</f>
        <v>0</v>
      </c>
    </row>
    <row r="10" spans="1:11" ht="30" customHeight="1" x14ac:dyDescent="0.3">
      <c r="A10" s="19">
        <v>3</v>
      </c>
      <c r="B10" s="20" t="s">
        <v>19</v>
      </c>
      <c r="C10" s="86" t="s">
        <v>763</v>
      </c>
      <c r="D10" s="89"/>
      <c r="E10" s="89"/>
      <c r="F10" s="89"/>
      <c r="G10" s="89"/>
      <c r="H10" s="90"/>
      <c r="I10" s="28" t="s">
        <v>615</v>
      </c>
      <c r="J10" s="131">
        <f t="shared" si="0"/>
        <v>0</v>
      </c>
    </row>
    <row r="11" spans="1:11" ht="30" customHeight="1" x14ac:dyDescent="0.3">
      <c r="A11" s="21">
        <v>4</v>
      </c>
      <c r="B11" s="20" t="s">
        <v>19</v>
      </c>
      <c r="C11" s="86" t="s">
        <v>17</v>
      </c>
      <c r="D11" s="89"/>
      <c r="E11" s="89"/>
      <c r="F11" s="89"/>
      <c r="G11" s="89"/>
      <c r="H11" s="90"/>
      <c r="I11" s="28" t="s">
        <v>614</v>
      </c>
      <c r="J11" s="131">
        <f t="shared" si="0"/>
        <v>2</v>
      </c>
    </row>
    <row r="12" spans="1:11" ht="30" customHeight="1" x14ac:dyDescent="0.3">
      <c r="A12" s="19">
        <v>5</v>
      </c>
      <c r="B12" s="20" t="s">
        <v>19</v>
      </c>
      <c r="C12" s="86" t="s">
        <v>18</v>
      </c>
      <c r="D12" s="89"/>
      <c r="E12" s="89"/>
      <c r="F12" s="89"/>
      <c r="G12" s="89"/>
      <c r="H12" s="90"/>
      <c r="I12" s="28" t="s">
        <v>617</v>
      </c>
      <c r="J12" s="131">
        <f t="shared" si="0"/>
        <v>2</v>
      </c>
    </row>
    <row r="13" spans="1:11" ht="30" customHeight="1" x14ac:dyDescent="0.3">
      <c r="A13" s="21">
        <v>6</v>
      </c>
      <c r="B13" s="20" t="s">
        <v>20</v>
      </c>
      <c r="C13" s="86" t="s">
        <v>21</v>
      </c>
      <c r="D13" s="89"/>
      <c r="E13" s="89"/>
      <c r="F13" s="89"/>
      <c r="G13" s="89"/>
      <c r="H13" s="90"/>
      <c r="I13" s="28" t="s">
        <v>615</v>
      </c>
      <c r="J13" s="131">
        <f t="shared" si="0"/>
        <v>0</v>
      </c>
    </row>
    <row r="14" spans="1:11" ht="30" customHeight="1" x14ac:dyDescent="0.3">
      <c r="A14" s="19">
        <v>7</v>
      </c>
      <c r="B14" s="20" t="s">
        <v>20</v>
      </c>
      <c r="C14" s="86" t="s">
        <v>22</v>
      </c>
      <c r="D14" s="89"/>
      <c r="E14" s="89"/>
      <c r="F14" s="89"/>
      <c r="G14" s="89"/>
      <c r="H14" s="90"/>
      <c r="I14" s="28" t="s">
        <v>615</v>
      </c>
      <c r="J14" s="131">
        <f t="shared" si="0"/>
        <v>0</v>
      </c>
    </row>
    <row r="15" spans="1:11" ht="30" customHeight="1" x14ac:dyDescent="0.3">
      <c r="A15" s="21">
        <v>8</v>
      </c>
      <c r="B15" s="20" t="s">
        <v>20</v>
      </c>
      <c r="C15" s="86" t="s">
        <v>713</v>
      </c>
      <c r="D15" s="89"/>
      <c r="E15" s="89"/>
      <c r="F15" s="89"/>
      <c r="G15" s="89"/>
      <c r="H15" s="90"/>
      <c r="I15" s="28" t="s">
        <v>616</v>
      </c>
      <c r="J15" s="131">
        <f t="shared" si="0"/>
        <v>1</v>
      </c>
    </row>
    <row r="16" spans="1:11" ht="30" customHeight="1" x14ac:dyDescent="0.3">
      <c r="A16" s="19">
        <v>9</v>
      </c>
      <c r="B16" s="20" t="s">
        <v>23</v>
      </c>
      <c r="C16" s="86" t="s">
        <v>714</v>
      </c>
      <c r="D16" s="89"/>
      <c r="E16" s="89"/>
      <c r="F16" s="89"/>
      <c r="G16" s="89"/>
      <c r="H16" s="90"/>
      <c r="I16" s="28" t="s">
        <v>617</v>
      </c>
      <c r="J16" s="131">
        <f t="shared" si="0"/>
        <v>2</v>
      </c>
    </row>
    <row r="17" spans="1:10" ht="30" customHeight="1" x14ac:dyDescent="0.3">
      <c r="A17" s="21">
        <v>10</v>
      </c>
      <c r="B17" s="20" t="s">
        <v>23</v>
      </c>
      <c r="C17" s="86" t="s">
        <v>715</v>
      </c>
      <c r="D17" s="89"/>
      <c r="E17" s="89"/>
      <c r="F17" s="89"/>
      <c r="G17" s="89"/>
      <c r="H17" s="90"/>
      <c r="I17" s="28" t="s">
        <v>617</v>
      </c>
      <c r="J17" s="131">
        <f t="shared" si="0"/>
        <v>2</v>
      </c>
    </row>
    <row r="18" spans="1:10" ht="30" customHeight="1" x14ac:dyDescent="0.3">
      <c r="A18" s="19">
        <v>11</v>
      </c>
      <c r="B18" s="20" t="s">
        <v>23</v>
      </c>
      <c r="C18" s="86" t="s">
        <v>716</v>
      </c>
      <c r="D18" s="89"/>
      <c r="E18" s="89"/>
      <c r="F18" s="89"/>
      <c r="G18" s="89"/>
      <c r="H18" s="90"/>
      <c r="I18" s="28" t="s">
        <v>617</v>
      </c>
      <c r="J18" s="131">
        <f t="shared" si="0"/>
        <v>2</v>
      </c>
    </row>
    <row r="19" spans="1:10" ht="30" customHeight="1" x14ac:dyDescent="0.3">
      <c r="A19" s="21">
        <v>12</v>
      </c>
      <c r="B19" s="20" t="s">
        <v>23</v>
      </c>
      <c r="C19" s="86" t="s">
        <v>103</v>
      </c>
      <c r="D19" s="89"/>
      <c r="E19" s="89"/>
      <c r="F19" s="89"/>
      <c r="G19" s="89"/>
      <c r="H19" s="90"/>
      <c r="I19" s="28" t="s">
        <v>617</v>
      </c>
      <c r="J19" s="131">
        <f t="shared" si="0"/>
        <v>2</v>
      </c>
    </row>
    <row r="20" spans="1:10" ht="30" customHeight="1" x14ac:dyDescent="0.3">
      <c r="A20" s="19">
        <v>13</v>
      </c>
      <c r="B20" s="20" t="s">
        <v>23</v>
      </c>
      <c r="C20" s="86" t="s">
        <v>717</v>
      </c>
      <c r="D20" s="89"/>
      <c r="E20" s="89"/>
      <c r="F20" s="89"/>
      <c r="G20" s="89"/>
      <c r="H20" s="90"/>
      <c r="I20" s="28" t="s">
        <v>615</v>
      </c>
      <c r="J20" s="131">
        <f t="shared" si="0"/>
        <v>0</v>
      </c>
    </row>
    <row r="21" spans="1:10" ht="30" customHeight="1" x14ac:dyDescent="0.3">
      <c r="A21" s="21">
        <v>14</v>
      </c>
      <c r="B21" s="20" t="s">
        <v>24</v>
      </c>
      <c r="C21" s="86" t="s">
        <v>25</v>
      </c>
      <c r="D21" s="89"/>
      <c r="E21" s="89"/>
      <c r="F21" s="89"/>
      <c r="G21" s="89"/>
      <c r="H21" s="90"/>
      <c r="I21" s="28" t="s">
        <v>615</v>
      </c>
      <c r="J21" s="131">
        <f t="shared" si="0"/>
        <v>0</v>
      </c>
    </row>
    <row r="22" spans="1:10" ht="30" customHeight="1" x14ac:dyDescent="0.3">
      <c r="A22" s="19">
        <v>15</v>
      </c>
      <c r="B22" s="20" t="s">
        <v>24</v>
      </c>
      <c r="C22" s="86" t="s">
        <v>718</v>
      </c>
      <c r="D22" s="89"/>
      <c r="E22" s="89"/>
      <c r="F22" s="89"/>
      <c r="G22" s="89"/>
      <c r="H22" s="90"/>
      <c r="I22" s="28" t="s">
        <v>617</v>
      </c>
      <c r="J22" s="131">
        <f t="shared" si="0"/>
        <v>2</v>
      </c>
    </row>
    <row r="23" spans="1:10" ht="30" customHeight="1" x14ac:dyDescent="0.3">
      <c r="A23" s="21">
        <v>16</v>
      </c>
      <c r="B23" s="20" t="s">
        <v>24</v>
      </c>
      <c r="C23" s="86" t="s">
        <v>26</v>
      </c>
      <c r="D23" s="89"/>
      <c r="E23" s="89"/>
      <c r="F23" s="89"/>
      <c r="G23" s="89"/>
      <c r="H23" s="90"/>
      <c r="I23" s="28" t="s">
        <v>615</v>
      </c>
      <c r="J23" s="131">
        <f t="shared" si="0"/>
        <v>0</v>
      </c>
    </row>
    <row r="24" spans="1:10" ht="30" customHeight="1" x14ac:dyDescent="0.3">
      <c r="A24" s="19">
        <v>17</v>
      </c>
      <c r="B24" s="20" t="s">
        <v>24</v>
      </c>
      <c r="C24" s="86" t="s">
        <v>634</v>
      </c>
      <c r="D24" s="89"/>
      <c r="E24" s="89"/>
      <c r="F24" s="89"/>
      <c r="G24" s="89"/>
      <c r="H24" s="90"/>
      <c r="I24" s="28" t="s">
        <v>617</v>
      </c>
      <c r="J24" s="131">
        <f t="shared" si="0"/>
        <v>2</v>
      </c>
    </row>
    <row r="25" spans="1:10" ht="30" customHeight="1" x14ac:dyDescent="0.3">
      <c r="A25" s="21">
        <v>18</v>
      </c>
      <c r="B25" s="20" t="s">
        <v>24</v>
      </c>
      <c r="C25" s="86" t="s">
        <v>27</v>
      </c>
      <c r="D25" s="89"/>
      <c r="E25" s="89"/>
      <c r="F25" s="89"/>
      <c r="G25" s="89"/>
      <c r="H25" s="90"/>
      <c r="I25" s="28" t="s">
        <v>616</v>
      </c>
      <c r="J25" s="131">
        <f t="shared" si="0"/>
        <v>1</v>
      </c>
    </row>
    <row r="26" spans="1:10" ht="30" customHeight="1" x14ac:dyDescent="0.3">
      <c r="A26" s="19">
        <v>19</v>
      </c>
      <c r="B26" s="20" t="s">
        <v>31</v>
      </c>
      <c r="C26" s="86" t="s">
        <v>29</v>
      </c>
      <c r="D26" s="89"/>
      <c r="E26" s="89"/>
      <c r="F26" s="89"/>
      <c r="G26" s="89"/>
      <c r="H26" s="90"/>
      <c r="I26" s="28" t="s">
        <v>616</v>
      </c>
      <c r="J26" s="131">
        <f t="shared" si="0"/>
        <v>1</v>
      </c>
    </row>
    <row r="27" spans="1:10" ht="30" customHeight="1" x14ac:dyDescent="0.3">
      <c r="A27" s="21">
        <v>20</v>
      </c>
      <c r="B27" s="20" t="s">
        <v>31</v>
      </c>
      <c r="C27" s="86" t="s">
        <v>28</v>
      </c>
      <c r="D27" s="89"/>
      <c r="E27" s="89"/>
      <c r="F27" s="89"/>
      <c r="G27" s="89"/>
      <c r="H27" s="90"/>
      <c r="I27" s="28" t="s">
        <v>615</v>
      </c>
      <c r="J27" s="131">
        <f t="shared" si="0"/>
        <v>0</v>
      </c>
    </row>
    <row r="28" spans="1:10" ht="30" customHeight="1" x14ac:dyDescent="0.3">
      <c r="A28" s="19">
        <v>21</v>
      </c>
      <c r="B28" s="20" t="s">
        <v>31</v>
      </c>
      <c r="C28" s="86" t="s">
        <v>30</v>
      </c>
      <c r="D28" s="89"/>
      <c r="E28" s="89"/>
      <c r="F28" s="89"/>
      <c r="G28" s="89"/>
      <c r="H28" s="90"/>
      <c r="I28" s="28" t="s">
        <v>614</v>
      </c>
      <c r="J28" s="131">
        <f t="shared" si="0"/>
        <v>2</v>
      </c>
    </row>
    <row r="29" spans="1:10" ht="30" customHeight="1" x14ac:dyDescent="0.3">
      <c r="A29" s="21">
        <v>22</v>
      </c>
      <c r="B29" s="20" t="s">
        <v>31</v>
      </c>
      <c r="C29" s="86" t="s">
        <v>32</v>
      </c>
      <c r="D29" s="89"/>
      <c r="E29" s="89"/>
      <c r="F29" s="89"/>
      <c r="G29" s="89"/>
      <c r="H29" s="90"/>
      <c r="I29" s="28" t="s">
        <v>615</v>
      </c>
      <c r="J29" s="131">
        <f t="shared" si="0"/>
        <v>0</v>
      </c>
    </row>
    <row r="30" spans="1:10" ht="30" customHeight="1" x14ac:dyDescent="0.3">
      <c r="A30" s="19">
        <v>23</v>
      </c>
      <c r="B30" s="20" t="s">
        <v>31</v>
      </c>
      <c r="C30" s="86" t="s">
        <v>33</v>
      </c>
      <c r="D30" s="89"/>
      <c r="E30" s="89"/>
      <c r="F30" s="89"/>
      <c r="G30" s="89"/>
      <c r="H30" s="90"/>
      <c r="I30" s="28" t="s">
        <v>617</v>
      </c>
      <c r="J30" s="131">
        <f t="shared" si="0"/>
        <v>2</v>
      </c>
    </row>
    <row r="31" spans="1:10" ht="30" customHeight="1" x14ac:dyDescent="0.3">
      <c r="A31" s="21">
        <v>24</v>
      </c>
      <c r="B31" s="20" t="s">
        <v>34</v>
      </c>
      <c r="C31" s="86" t="s">
        <v>35</v>
      </c>
      <c r="D31" s="89"/>
      <c r="E31" s="89"/>
      <c r="F31" s="89"/>
      <c r="G31" s="89"/>
      <c r="H31" s="90"/>
      <c r="I31" s="28" t="s">
        <v>617</v>
      </c>
      <c r="J31" s="131">
        <f t="shared" si="0"/>
        <v>2</v>
      </c>
    </row>
    <row r="32" spans="1:10" ht="30" customHeight="1" x14ac:dyDescent="0.3">
      <c r="A32" s="19">
        <v>25</v>
      </c>
      <c r="B32" s="20" t="s">
        <v>34</v>
      </c>
      <c r="C32" s="86" t="s">
        <v>36</v>
      </c>
      <c r="D32" s="89"/>
      <c r="E32" s="89"/>
      <c r="F32" s="89"/>
      <c r="G32" s="89"/>
      <c r="H32" s="90"/>
      <c r="I32" s="28" t="s">
        <v>615</v>
      </c>
      <c r="J32" s="131">
        <f t="shared" si="0"/>
        <v>0</v>
      </c>
    </row>
    <row r="33" spans="1:13" ht="72.75" customHeight="1" x14ac:dyDescent="0.3">
      <c r="A33" s="21">
        <v>26</v>
      </c>
      <c r="B33" s="20" t="s">
        <v>34</v>
      </c>
      <c r="C33" s="86" t="s">
        <v>667</v>
      </c>
      <c r="D33" s="89"/>
      <c r="E33" s="89"/>
      <c r="F33" s="89"/>
      <c r="G33" s="89"/>
      <c r="H33" s="90"/>
      <c r="I33" s="28" t="s">
        <v>616</v>
      </c>
      <c r="J33" s="131">
        <f t="shared" si="0"/>
        <v>1</v>
      </c>
    </row>
    <row r="34" spans="1:13" ht="114.75" customHeight="1" x14ac:dyDescent="0.3">
      <c r="A34" s="19">
        <v>27</v>
      </c>
      <c r="B34" s="20" t="s">
        <v>38</v>
      </c>
      <c r="C34" s="86" t="s">
        <v>37</v>
      </c>
      <c r="D34" s="89"/>
      <c r="E34" s="89"/>
      <c r="F34" s="89"/>
      <c r="G34" s="89"/>
      <c r="H34" s="90"/>
      <c r="I34" s="28" t="s">
        <v>615</v>
      </c>
      <c r="J34" s="131">
        <f t="shared" si="0"/>
        <v>0</v>
      </c>
    </row>
    <row r="35" spans="1:13" ht="49.5" customHeight="1" x14ac:dyDescent="0.3">
      <c r="A35" s="21">
        <v>28</v>
      </c>
      <c r="B35" s="20" t="s">
        <v>39</v>
      </c>
      <c r="C35" s="86" t="s">
        <v>668</v>
      </c>
      <c r="D35" s="89"/>
      <c r="E35" s="89"/>
      <c r="F35" s="89"/>
      <c r="G35" s="89"/>
      <c r="H35" s="90"/>
      <c r="I35" s="28" t="s">
        <v>617</v>
      </c>
      <c r="J35" s="131">
        <f t="shared" si="0"/>
        <v>2</v>
      </c>
    </row>
    <row r="36" spans="1:13" ht="78.599999999999994" customHeight="1" x14ac:dyDescent="0.3">
      <c r="A36" s="19">
        <v>29</v>
      </c>
      <c r="B36" s="20" t="s">
        <v>39</v>
      </c>
      <c r="C36" s="86" t="s">
        <v>40</v>
      </c>
      <c r="D36" s="89"/>
      <c r="E36" s="89"/>
      <c r="F36" s="89"/>
      <c r="G36" s="89"/>
      <c r="H36" s="90"/>
      <c r="I36" s="28" t="s">
        <v>617</v>
      </c>
      <c r="J36" s="131">
        <f t="shared" si="0"/>
        <v>2</v>
      </c>
    </row>
    <row r="37" spans="1:13" ht="45.75" customHeight="1" x14ac:dyDescent="0.3">
      <c r="A37" s="21">
        <v>30</v>
      </c>
      <c r="B37" s="20" t="s">
        <v>39</v>
      </c>
      <c r="C37" s="86" t="s">
        <v>41</v>
      </c>
      <c r="D37" s="89"/>
      <c r="E37" s="89"/>
      <c r="F37" s="89"/>
      <c r="G37" s="89"/>
      <c r="H37" s="90"/>
      <c r="I37" s="28" t="s">
        <v>614</v>
      </c>
      <c r="J37" s="131">
        <f t="shared" si="0"/>
        <v>2</v>
      </c>
    </row>
    <row r="38" spans="1:13" ht="36.75" customHeight="1" x14ac:dyDescent="0.3">
      <c r="A38" s="19">
        <v>31</v>
      </c>
      <c r="B38" s="20" t="s">
        <v>42</v>
      </c>
      <c r="C38" s="86" t="s">
        <v>669</v>
      </c>
      <c r="D38" s="89"/>
      <c r="E38" s="89"/>
      <c r="F38" s="89"/>
      <c r="G38" s="89"/>
      <c r="H38" s="90"/>
      <c r="I38" s="28" t="s">
        <v>617</v>
      </c>
      <c r="J38" s="131">
        <f t="shared" si="0"/>
        <v>2</v>
      </c>
    </row>
    <row r="39" spans="1:13" ht="52.5" customHeight="1" x14ac:dyDescent="0.3">
      <c r="A39" s="21">
        <v>32</v>
      </c>
      <c r="B39" s="20" t="s">
        <v>43</v>
      </c>
      <c r="C39" s="86" t="s">
        <v>670</v>
      </c>
      <c r="D39" s="89"/>
      <c r="E39" s="89"/>
      <c r="F39" s="89"/>
      <c r="G39" s="89"/>
      <c r="H39" s="90"/>
      <c r="I39" s="28" t="s">
        <v>616</v>
      </c>
      <c r="J39" s="131">
        <f t="shared" si="0"/>
        <v>1</v>
      </c>
    </row>
    <row r="40" spans="1:13" ht="39.6" customHeight="1" x14ac:dyDescent="0.3">
      <c r="A40" s="19">
        <v>33</v>
      </c>
      <c r="B40" s="20" t="s">
        <v>43</v>
      </c>
      <c r="C40" s="86" t="s">
        <v>671</v>
      </c>
      <c r="D40" s="89"/>
      <c r="E40" s="89"/>
      <c r="F40" s="89"/>
      <c r="G40" s="89"/>
      <c r="H40" s="90"/>
      <c r="I40" s="28" t="s">
        <v>616</v>
      </c>
      <c r="J40" s="131">
        <f t="shared" si="0"/>
        <v>1</v>
      </c>
      <c r="K40" s="129" t="s">
        <v>764</v>
      </c>
      <c r="L40" s="129" t="s">
        <v>765</v>
      </c>
      <c r="M40" s="129" t="s">
        <v>766</v>
      </c>
    </row>
    <row r="41" spans="1:13" ht="44.25" customHeight="1" x14ac:dyDescent="0.3">
      <c r="A41" s="13" t="s">
        <v>13</v>
      </c>
      <c r="B41" s="18" t="s">
        <v>14</v>
      </c>
      <c r="C41" s="82" t="s">
        <v>741</v>
      </c>
      <c r="D41" s="83"/>
      <c r="E41" s="83"/>
      <c r="F41" s="83"/>
      <c r="G41" s="83"/>
      <c r="H41" s="83"/>
      <c r="I41" s="26" t="s">
        <v>620</v>
      </c>
      <c r="J41" s="26" t="s">
        <v>621</v>
      </c>
      <c r="K41" s="130">
        <f>SUM(J8:J40)</f>
        <v>38</v>
      </c>
      <c r="L41" s="130">
        <v>66</v>
      </c>
      <c r="M41" s="132">
        <f>(K41*100/66)%</f>
        <v>0.5757575757575758</v>
      </c>
    </row>
    <row r="42" spans="1:13" ht="30" customHeight="1" x14ac:dyDescent="0.3">
      <c r="A42" s="11">
        <v>1</v>
      </c>
      <c r="B42" s="20" t="s">
        <v>44</v>
      </c>
      <c r="C42" s="86" t="s">
        <v>45</v>
      </c>
      <c r="D42" s="89"/>
      <c r="E42" s="89"/>
      <c r="F42" s="89"/>
      <c r="G42" s="89"/>
      <c r="H42" s="90"/>
      <c r="I42" s="28" t="s">
        <v>616</v>
      </c>
      <c r="J42" s="27">
        <f t="shared" si="0"/>
        <v>1</v>
      </c>
    </row>
    <row r="43" spans="1:13" ht="41.25" customHeight="1" x14ac:dyDescent="0.3">
      <c r="A43" s="11">
        <v>2</v>
      </c>
      <c r="B43" s="20" t="s">
        <v>46</v>
      </c>
      <c r="C43" s="86" t="s">
        <v>47</v>
      </c>
      <c r="D43" s="89"/>
      <c r="E43" s="89"/>
      <c r="F43" s="89"/>
      <c r="G43" s="89"/>
      <c r="H43" s="90"/>
      <c r="I43" s="28" t="s">
        <v>616</v>
      </c>
      <c r="J43" s="27">
        <f t="shared" si="0"/>
        <v>1</v>
      </c>
      <c r="K43" s="129" t="s">
        <v>764</v>
      </c>
      <c r="L43" s="129" t="s">
        <v>765</v>
      </c>
      <c r="M43" s="129" t="s">
        <v>766</v>
      </c>
    </row>
    <row r="44" spans="1:13" ht="33.75" customHeight="1" x14ac:dyDescent="0.3">
      <c r="A44" s="13" t="s">
        <v>13</v>
      </c>
      <c r="B44" s="18" t="s">
        <v>14</v>
      </c>
      <c r="C44" s="82" t="s">
        <v>742</v>
      </c>
      <c r="D44" s="83"/>
      <c r="E44" s="83"/>
      <c r="F44" s="83"/>
      <c r="G44" s="83"/>
      <c r="H44" s="83"/>
      <c r="I44" s="26" t="s">
        <v>620</v>
      </c>
      <c r="J44" s="26" t="s">
        <v>621</v>
      </c>
      <c r="K44" s="130">
        <v>2</v>
      </c>
      <c r="L44" s="130">
        <v>4</v>
      </c>
      <c r="M44" s="132">
        <f>(K44*100/4)%</f>
        <v>0.5</v>
      </c>
    </row>
    <row r="45" spans="1:13" ht="30" customHeight="1" x14ac:dyDescent="0.3">
      <c r="A45" s="20">
        <v>1</v>
      </c>
      <c r="B45" s="20" t="s">
        <v>48</v>
      </c>
      <c r="C45" s="86" t="s">
        <v>49</v>
      </c>
      <c r="D45" s="89"/>
      <c r="E45" s="89"/>
      <c r="F45" s="89"/>
      <c r="G45" s="89"/>
      <c r="H45" s="90"/>
      <c r="I45" s="28" t="s">
        <v>617</v>
      </c>
      <c r="J45" s="27">
        <f t="shared" si="0"/>
        <v>2</v>
      </c>
    </row>
    <row r="46" spans="1:13" ht="36" customHeight="1" x14ac:dyDescent="0.3">
      <c r="A46" s="20">
        <v>2</v>
      </c>
      <c r="B46" s="20" t="s">
        <v>48</v>
      </c>
      <c r="C46" s="86" t="s">
        <v>50</v>
      </c>
      <c r="D46" s="89"/>
      <c r="E46" s="89"/>
      <c r="F46" s="89"/>
      <c r="G46" s="89"/>
      <c r="H46" s="90"/>
      <c r="I46" s="28" t="s">
        <v>615</v>
      </c>
      <c r="J46" s="131">
        <f t="shared" si="0"/>
        <v>0</v>
      </c>
    </row>
    <row r="47" spans="1:13" ht="45.75" customHeight="1" x14ac:dyDescent="0.3">
      <c r="A47" s="20">
        <v>3</v>
      </c>
      <c r="B47" s="20" t="s">
        <v>48</v>
      </c>
      <c r="C47" s="86" t="s">
        <v>51</v>
      </c>
      <c r="D47" s="89"/>
      <c r="E47" s="89"/>
      <c r="F47" s="89"/>
      <c r="G47" s="89"/>
      <c r="H47" s="90"/>
      <c r="I47" s="28" t="s">
        <v>616</v>
      </c>
      <c r="J47" s="131">
        <f t="shared" si="0"/>
        <v>1</v>
      </c>
    </row>
    <row r="48" spans="1:13" ht="30" customHeight="1" x14ac:dyDescent="0.3">
      <c r="A48" s="20">
        <v>4</v>
      </c>
      <c r="B48" s="20" t="s">
        <v>48</v>
      </c>
      <c r="C48" s="86" t="s">
        <v>672</v>
      </c>
      <c r="D48" s="89"/>
      <c r="E48" s="89"/>
      <c r="F48" s="89"/>
      <c r="G48" s="89"/>
      <c r="H48" s="90"/>
      <c r="I48" s="28" t="s">
        <v>617</v>
      </c>
      <c r="J48" s="27">
        <f t="shared" si="0"/>
        <v>2</v>
      </c>
    </row>
    <row r="49" spans="1:10" ht="30" customHeight="1" x14ac:dyDescent="0.3">
      <c r="A49" s="20">
        <v>5</v>
      </c>
      <c r="B49" s="20" t="s">
        <v>48</v>
      </c>
      <c r="C49" s="86" t="s">
        <v>52</v>
      </c>
      <c r="D49" s="89"/>
      <c r="E49" s="89"/>
      <c r="F49" s="89"/>
      <c r="G49" s="89"/>
      <c r="H49" s="90"/>
      <c r="I49" s="28" t="s">
        <v>617</v>
      </c>
      <c r="J49" s="27">
        <f t="shared" si="0"/>
        <v>2</v>
      </c>
    </row>
    <row r="50" spans="1:10" ht="84" customHeight="1" x14ac:dyDescent="0.3">
      <c r="A50" s="20">
        <v>6</v>
      </c>
      <c r="B50" s="20" t="s">
        <v>48</v>
      </c>
      <c r="C50" s="86" t="s">
        <v>673</v>
      </c>
      <c r="D50" s="89"/>
      <c r="E50" s="89"/>
      <c r="F50" s="89"/>
      <c r="G50" s="89"/>
      <c r="H50" s="90"/>
      <c r="I50" s="28" t="s">
        <v>615</v>
      </c>
      <c r="J50" s="131">
        <f t="shared" si="0"/>
        <v>0</v>
      </c>
    </row>
    <row r="51" spans="1:10" ht="42.75" customHeight="1" x14ac:dyDescent="0.3">
      <c r="A51" s="20">
        <v>7</v>
      </c>
      <c r="B51" s="20" t="s">
        <v>53</v>
      </c>
      <c r="C51" s="86" t="s">
        <v>719</v>
      </c>
      <c r="D51" s="89"/>
      <c r="E51" s="89"/>
      <c r="F51" s="89"/>
      <c r="G51" s="89"/>
      <c r="H51" s="90"/>
      <c r="I51" s="28" t="s">
        <v>617</v>
      </c>
      <c r="J51" s="27">
        <f t="shared" si="0"/>
        <v>2</v>
      </c>
    </row>
    <row r="52" spans="1:10" ht="50.25" customHeight="1" x14ac:dyDescent="0.3">
      <c r="A52" s="20">
        <v>8</v>
      </c>
      <c r="B52" s="20" t="s">
        <v>53</v>
      </c>
      <c r="C52" s="86" t="s">
        <v>720</v>
      </c>
      <c r="D52" s="89"/>
      <c r="E52" s="89"/>
      <c r="F52" s="89"/>
      <c r="G52" s="89"/>
      <c r="H52" s="90"/>
      <c r="I52" s="28" t="s">
        <v>617</v>
      </c>
      <c r="J52" s="27">
        <f t="shared" si="0"/>
        <v>2</v>
      </c>
    </row>
    <row r="53" spans="1:10" ht="30" customHeight="1" x14ac:dyDescent="0.3">
      <c r="A53" s="20">
        <v>9</v>
      </c>
      <c r="B53" s="20" t="s">
        <v>53</v>
      </c>
      <c r="C53" s="86" t="s">
        <v>54</v>
      </c>
      <c r="D53" s="89"/>
      <c r="E53" s="89"/>
      <c r="F53" s="89"/>
      <c r="G53" s="89"/>
      <c r="H53" s="90"/>
      <c r="I53" s="28" t="s">
        <v>617</v>
      </c>
      <c r="J53" s="27">
        <f t="shared" si="0"/>
        <v>2</v>
      </c>
    </row>
    <row r="54" spans="1:10" ht="37.799999999999997" customHeight="1" x14ac:dyDescent="0.3">
      <c r="A54" s="20">
        <v>10</v>
      </c>
      <c r="B54" s="20" t="s">
        <v>53</v>
      </c>
      <c r="C54" s="86" t="s">
        <v>55</v>
      </c>
      <c r="D54" s="89"/>
      <c r="E54" s="89"/>
      <c r="F54" s="89"/>
      <c r="G54" s="89"/>
      <c r="H54" s="90"/>
      <c r="I54" s="28" t="s">
        <v>617</v>
      </c>
      <c r="J54" s="27">
        <f t="shared" si="0"/>
        <v>2</v>
      </c>
    </row>
    <row r="55" spans="1:10" ht="30" customHeight="1" x14ac:dyDescent="0.3">
      <c r="A55" s="20">
        <v>11</v>
      </c>
      <c r="B55" s="20" t="s">
        <v>53</v>
      </c>
      <c r="C55" s="86" t="s">
        <v>56</v>
      </c>
      <c r="D55" s="89"/>
      <c r="E55" s="89"/>
      <c r="F55" s="89"/>
      <c r="G55" s="89"/>
      <c r="H55" s="90"/>
      <c r="I55" s="28" t="s">
        <v>617</v>
      </c>
      <c r="J55" s="27">
        <f t="shared" si="0"/>
        <v>2</v>
      </c>
    </row>
    <row r="56" spans="1:10" ht="30.75" customHeight="1" x14ac:dyDescent="0.3">
      <c r="A56" s="20">
        <v>12</v>
      </c>
      <c r="B56" s="20" t="s">
        <v>53</v>
      </c>
      <c r="C56" s="86" t="s">
        <v>57</v>
      </c>
      <c r="D56" s="89"/>
      <c r="E56" s="89"/>
      <c r="F56" s="89"/>
      <c r="G56" s="89"/>
      <c r="H56" s="90"/>
      <c r="I56" s="28" t="s">
        <v>616</v>
      </c>
      <c r="J56" s="131">
        <f t="shared" si="0"/>
        <v>1</v>
      </c>
    </row>
    <row r="57" spans="1:10" ht="30" customHeight="1" x14ac:dyDescent="0.3">
      <c r="A57" s="20">
        <v>13</v>
      </c>
      <c r="B57" s="20" t="s">
        <v>53</v>
      </c>
      <c r="C57" s="86" t="s">
        <v>58</v>
      </c>
      <c r="D57" s="89"/>
      <c r="E57" s="89"/>
      <c r="F57" s="89"/>
      <c r="G57" s="89"/>
      <c r="H57" s="90"/>
      <c r="I57" s="28" t="s">
        <v>616</v>
      </c>
      <c r="J57" s="131">
        <f t="shared" si="0"/>
        <v>1</v>
      </c>
    </row>
    <row r="58" spans="1:10" ht="45" customHeight="1" x14ac:dyDescent="0.3">
      <c r="A58" s="20">
        <v>14</v>
      </c>
      <c r="B58" s="20" t="s">
        <v>53</v>
      </c>
      <c r="C58" s="91" t="s">
        <v>59</v>
      </c>
      <c r="D58" s="87"/>
      <c r="E58" s="87"/>
      <c r="F58" s="87"/>
      <c r="G58" s="87"/>
      <c r="H58" s="88"/>
      <c r="I58" s="28" t="s">
        <v>617</v>
      </c>
      <c r="J58" s="27">
        <f t="shared" si="0"/>
        <v>2</v>
      </c>
    </row>
    <row r="59" spans="1:10" ht="57" customHeight="1" x14ac:dyDescent="0.3">
      <c r="A59" s="20">
        <v>15</v>
      </c>
      <c r="B59" s="20" t="s">
        <v>60</v>
      </c>
      <c r="C59" s="91" t="s">
        <v>721</v>
      </c>
      <c r="D59" s="87"/>
      <c r="E59" s="87"/>
      <c r="F59" s="87"/>
      <c r="G59" s="87"/>
      <c r="H59" s="88"/>
      <c r="I59" s="28" t="s">
        <v>617</v>
      </c>
      <c r="J59" s="27">
        <f t="shared" si="0"/>
        <v>2</v>
      </c>
    </row>
    <row r="60" spans="1:10" ht="45.75" customHeight="1" x14ac:dyDescent="0.3">
      <c r="A60" s="20">
        <v>16</v>
      </c>
      <c r="B60" s="20" t="s">
        <v>60</v>
      </c>
      <c r="C60" s="91" t="s">
        <v>61</v>
      </c>
      <c r="D60" s="87"/>
      <c r="E60" s="87"/>
      <c r="F60" s="87"/>
      <c r="G60" s="87"/>
      <c r="H60" s="88"/>
      <c r="I60" s="28" t="s">
        <v>617</v>
      </c>
      <c r="J60" s="27">
        <f t="shared" si="0"/>
        <v>2</v>
      </c>
    </row>
    <row r="61" spans="1:10" ht="46.5" customHeight="1" x14ac:dyDescent="0.3">
      <c r="A61" s="20">
        <v>17</v>
      </c>
      <c r="B61" s="20" t="s">
        <v>60</v>
      </c>
      <c r="C61" s="91" t="s">
        <v>62</v>
      </c>
      <c r="D61" s="87"/>
      <c r="E61" s="87"/>
      <c r="F61" s="87"/>
      <c r="G61" s="87"/>
      <c r="H61" s="88"/>
      <c r="I61" s="28" t="s">
        <v>614</v>
      </c>
      <c r="J61" s="27">
        <f t="shared" si="0"/>
        <v>2</v>
      </c>
    </row>
    <row r="62" spans="1:10" ht="63" customHeight="1" x14ac:dyDescent="0.3">
      <c r="A62" s="20">
        <v>18</v>
      </c>
      <c r="B62" s="20" t="s">
        <v>60</v>
      </c>
      <c r="C62" s="91" t="s">
        <v>722</v>
      </c>
      <c r="D62" s="87"/>
      <c r="E62" s="87"/>
      <c r="F62" s="87"/>
      <c r="G62" s="87"/>
      <c r="H62" s="88"/>
      <c r="I62" s="28" t="s">
        <v>614</v>
      </c>
      <c r="J62" s="27">
        <f t="shared" si="0"/>
        <v>2</v>
      </c>
    </row>
    <row r="63" spans="1:10" ht="46.5" customHeight="1" x14ac:dyDescent="0.3">
      <c r="A63" s="20">
        <v>19</v>
      </c>
      <c r="B63" s="20" t="s">
        <v>60</v>
      </c>
      <c r="C63" s="91" t="s">
        <v>63</v>
      </c>
      <c r="D63" s="87"/>
      <c r="E63" s="87"/>
      <c r="F63" s="87"/>
      <c r="G63" s="87"/>
      <c r="H63" s="88"/>
      <c r="I63" s="28" t="s">
        <v>614</v>
      </c>
      <c r="J63" s="27">
        <f t="shared" si="0"/>
        <v>2</v>
      </c>
    </row>
    <row r="64" spans="1:10" ht="25.5" customHeight="1" x14ac:dyDescent="0.3">
      <c r="A64" s="20">
        <v>20</v>
      </c>
      <c r="B64" s="20" t="s">
        <v>60</v>
      </c>
      <c r="C64" s="91" t="s">
        <v>64</v>
      </c>
      <c r="D64" s="87"/>
      <c r="E64" s="87"/>
      <c r="F64" s="87"/>
      <c r="G64" s="87"/>
      <c r="H64" s="88"/>
      <c r="I64" s="28" t="s">
        <v>617</v>
      </c>
      <c r="J64" s="27">
        <f t="shared" si="0"/>
        <v>2</v>
      </c>
    </row>
    <row r="65" spans="1:10" ht="46.5" customHeight="1" x14ac:dyDescent="0.3">
      <c r="A65" s="20">
        <v>21</v>
      </c>
      <c r="B65" s="20" t="s">
        <v>60</v>
      </c>
      <c r="C65" s="91" t="s">
        <v>674</v>
      </c>
      <c r="D65" s="87"/>
      <c r="E65" s="87"/>
      <c r="F65" s="87"/>
      <c r="G65" s="87"/>
      <c r="H65" s="88"/>
      <c r="I65" s="28" t="s">
        <v>617</v>
      </c>
      <c r="J65" s="27">
        <f t="shared" si="0"/>
        <v>2</v>
      </c>
    </row>
    <row r="66" spans="1:10" ht="30.75" customHeight="1" x14ac:dyDescent="0.3">
      <c r="A66" s="20">
        <v>22</v>
      </c>
      <c r="B66" s="20" t="s">
        <v>60</v>
      </c>
      <c r="C66" s="91" t="s">
        <v>65</v>
      </c>
      <c r="D66" s="87"/>
      <c r="E66" s="87"/>
      <c r="F66" s="87"/>
      <c r="G66" s="87"/>
      <c r="H66" s="88"/>
      <c r="I66" s="28" t="s">
        <v>614</v>
      </c>
      <c r="J66" s="27">
        <f t="shared" si="0"/>
        <v>2</v>
      </c>
    </row>
    <row r="67" spans="1:10" ht="30.75" customHeight="1" x14ac:dyDescent="0.3">
      <c r="A67" s="20">
        <v>23</v>
      </c>
      <c r="B67" s="20" t="s">
        <v>60</v>
      </c>
      <c r="C67" s="91" t="s">
        <v>66</v>
      </c>
      <c r="D67" s="87"/>
      <c r="E67" s="87"/>
      <c r="F67" s="87"/>
      <c r="G67" s="87"/>
      <c r="H67" s="88"/>
      <c r="I67" s="28" t="s">
        <v>614</v>
      </c>
      <c r="J67" s="27">
        <f t="shared" si="0"/>
        <v>2</v>
      </c>
    </row>
    <row r="68" spans="1:10" ht="30" customHeight="1" x14ac:dyDescent="0.3">
      <c r="A68" s="20">
        <v>24</v>
      </c>
      <c r="B68" s="20" t="s">
        <v>68</v>
      </c>
      <c r="C68" s="91" t="s">
        <v>67</v>
      </c>
      <c r="D68" s="87"/>
      <c r="E68" s="87"/>
      <c r="F68" s="87"/>
      <c r="G68" s="87"/>
      <c r="H68" s="88"/>
      <c r="I68" s="28" t="s">
        <v>617</v>
      </c>
      <c r="J68" s="27">
        <f t="shared" si="0"/>
        <v>2</v>
      </c>
    </row>
    <row r="69" spans="1:10" ht="30" customHeight="1" x14ac:dyDescent="0.3">
      <c r="A69" s="20">
        <v>25</v>
      </c>
      <c r="B69" s="20" t="s">
        <v>70</v>
      </c>
      <c r="C69" s="91" t="s">
        <v>69</v>
      </c>
      <c r="D69" s="87"/>
      <c r="E69" s="87"/>
      <c r="F69" s="87"/>
      <c r="G69" s="87"/>
      <c r="H69" s="88"/>
      <c r="I69" s="28" t="s">
        <v>614</v>
      </c>
      <c r="J69" s="27">
        <f t="shared" si="0"/>
        <v>2</v>
      </c>
    </row>
    <row r="70" spans="1:10" ht="51" customHeight="1" x14ac:dyDescent="0.3">
      <c r="A70" s="20">
        <v>26</v>
      </c>
      <c r="B70" s="20" t="s">
        <v>71</v>
      </c>
      <c r="C70" s="86" t="s">
        <v>675</v>
      </c>
      <c r="D70" s="87"/>
      <c r="E70" s="87"/>
      <c r="F70" s="87"/>
      <c r="G70" s="87"/>
      <c r="H70" s="88"/>
      <c r="I70" s="28" t="s">
        <v>616</v>
      </c>
      <c r="J70" s="131">
        <f t="shared" si="0"/>
        <v>1</v>
      </c>
    </row>
    <row r="71" spans="1:10" ht="39.75" customHeight="1" x14ac:dyDescent="0.3">
      <c r="A71" s="20">
        <v>27</v>
      </c>
      <c r="B71" s="20" t="s">
        <v>75</v>
      </c>
      <c r="C71" s="86" t="s">
        <v>676</v>
      </c>
      <c r="D71" s="87"/>
      <c r="E71" s="87"/>
      <c r="F71" s="87"/>
      <c r="G71" s="87"/>
      <c r="H71" s="88"/>
      <c r="I71" s="28" t="s">
        <v>614</v>
      </c>
      <c r="J71" s="27">
        <f t="shared" si="0"/>
        <v>2</v>
      </c>
    </row>
    <row r="72" spans="1:10" ht="35.25" customHeight="1" x14ac:dyDescent="0.3">
      <c r="A72" s="20">
        <v>28</v>
      </c>
      <c r="B72" s="20" t="s">
        <v>75</v>
      </c>
      <c r="C72" s="86" t="s">
        <v>677</v>
      </c>
      <c r="D72" s="87"/>
      <c r="E72" s="87"/>
      <c r="F72" s="87"/>
      <c r="G72" s="87"/>
      <c r="H72" s="88"/>
      <c r="I72" s="28" t="s">
        <v>614</v>
      </c>
      <c r="J72" s="27">
        <f t="shared" si="0"/>
        <v>2</v>
      </c>
    </row>
    <row r="73" spans="1:10" ht="49.5" customHeight="1" x14ac:dyDescent="0.3">
      <c r="A73" s="20">
        <v>29</v>
      </c>
      <c r="B73" s="20" t="s">
        <v>75</v>
      </c>
      <c r="C73" s="86" t="s">
        <v>72</v>
      </c>
      <c r="D73" s="87"/>
      <c r="E73" s="87"/>
      <c r="F73" s="87"/>
      <c r="G73" s="87"/>
      <c r="H73" s="88"/>
      <c r="I73" s="28" t="s">
        <v>614</v>
      </c>
      <c r="J73" s="27">
        <f t="shared" ref="J73:J122" si="1">IF(I73="No cumple",0,IF(I73="No aplica",2,IF(I73="Cumple totalmente",2,IF(I73="Cumple parcialmente",1))))</f>
        <v>2</v>
      </c>
    </row>
    <row r="74" spans="1:10" ht="24.75" customHeight="1" x14ac:dyDescent="0.3">
      <c r="A74" s="20">
        <v>30</v>
      </c>
      <c r="B74" s="20" t="s">
        <v>75</v>
      </c>
      <c r="C74" s="86" t="s">
        <v>74</v>
      </c>
      <c r="D74" s="87"/>
      <c r="E74" s="87"/>
      <c r="F74" s="87"/>
      <c r="G74" s="87"/>
      <c r="H74" s="88"/>
      <c r="I74" s="28" t="s">
        <v>614</v>
      </c>
      <c r="J74" s="27">
        <f t="shared" si="1"/>
        <v>2</v>
      </c>
    </row>
    <row r="75" spans="1:10" ht="33.75" customHeight="1" x14ac:dyDescent="0.3">
      <c r="A75" s="20">
        <v>31</v>
      </c>
      <c r="B75" s="20" t="s">
        <v>75</v>
      </c>
      <c r="C75" s="86" t="s">
        <v>73</v>
      </c>
      <c r="D75" s="87"/>
      <c r="E75" s="87"/>
      <c r="F75" s="87"/>
      <c r="G75" s="87"/>
      <c r="H75" s="88"/>
      <c r="I75" s="28" t="s">
        <v>614</v>
      </c>
      <c r="J75" s="27">
        <f t="shared" si="1"/>
        <v>2</v>
      </c>
    </row>
    <row r="76" spans="1:10" ht="30" customHeight="1" x14ac:dyDescent="0.3">
      <c r="A76" s="20">
        <v>32</v>
      </c>
      <c r="B76" s="20" t="s">
        <v>75</v>
      </c>
      <c r="C76" s="86" t="s">
        <v>104</v>
      </c>
      <c r="D76" s="87"/>
      <c r="E76" s="87"/>
      <c r="F76" s="87"/>
      <c r="G76" s="87"/>
      <c r="H76" s="88"/>
      <c r="I76" s="28" t="s">
        <v>614</v>
      </c>
      <c r="J76" s="27">
        <f t="shared" si="1"/>
        <v>2</v>
      </c>
    </row>
    <row r="77" spans="1:10" ht="30" customHeight="1" x14ac:dyDescent="0.3">
      <c r="A77" s="20">
        <v>33</v>
      </c>
      <c r="B77" s="20" t="s">
        <v>75</v>
      </c>
      <c r="C77" s="86" t="s">
        <v>678</v>
      </c>
      <c r="D77" s="87"/>
      <c r="E77" s="87"/>
      <c r="F77" s="87"/>
      <c r="G77" s="87"/>
      <c r="H77" s="88"/>
      <c r="I77" s="28" t="s">
        <v>614</v>
      </c>
      <c r="J77" s="27">
        <f t="shared" si="1"/>
        <v>2</v>
      </c>
    </row>
    <row r="78" spans="1:10" ht="30" customHeight="1" x14ac:dyDescent="0.3">
      <c r="A78" s="20">
        <v>34</v>
      </c>
      <c r="B78" s="20" t="s">
        <v>75</v>
      </c>
      <c r="C78" s="86" t="s">
        <v>76</v>
      </c>
      <c r="D78" s="87"/>
      <c r="E78" s="87"/>
      <c r="F78" s="87"/>
      <c r="G78" s="87"/>
      <c r="H78" s="88"/>
      <c r="I78" s="28" t="s">
        <v>614</v>
      </c>
      <c r="J78" s="27">
        <f t="shared" si="1"/>
        <v>2</v>
      </c>
    </row>
    <row r="79" spans="1:10" ht="43.5" customHeight="1" x14ac:dyDescent="0.3">
      <c r="A79" s="20">
        <v>35</v>
      </c>
      <c r="B79" s="20" t="s">
        <v>75</v>
      </c>
      <c r="C79" s="86" t="s">
        <v>679</v>
      </c>
      <c r="D79" s="87"/>
      <c r="E79" s="87"/>
      <c r="F79" s="87"/>
      <c r="G79" s="87"/>
      <c r="H79" s="88"/>
      <c r="I79" s="28" t="s">
        <v>614</v>
      </c>
      <c r="J79" s="27">
        <f t="shared" si="1"/>
        <v>2</v>
      </c>
    </row>
    <row r="80" spans="1:10" ht="37.5" customHeight="1" x14ac:dyDescent="0.3">
      <c r="A80" s="20">
        <v>36</v>
      </c>
      <c r="B80" s="20" t="s">
        <v>75</v>
      </c>
      <c r="C80" s="86" t="s">
        <v>77</v>
      </c>
      <c r="D80" s="87"/>
      <c r="E80" s="87"/>
      <c r="F80" s="87"/>
      <c r="G80" s="87"/>
      <c r="H80" s="88"/>
      <c r="I80" s="28" t="s">
        <v>614</v>
      </c>
      <c r="J80" s="27">
        <f t="shared" si="1"/>
        <v>2</v>
      </c>
    </row>
    <row r="81" spans="1:13" ht="37.5" customHeight="1" x14ac:dyDescent="0.3">
      <c r="A81" s="20">
        <v>37</v>
      </c>
      <c r="B81" s="20" t="s">
        <v>79</v>
      </c>
      <c r="C81" s="86" t="s">
        <v>78</v>
      </c>
      <c r="D81" s="87"/>
      <c r="E81" s="87"/>
      <c r="F81" s="87"/>
      <c r="G81" s="87"/>
      <c r="H81" s="88"/>
      <c r="I81" s="28" t="s">
        <v>617</v>
      </c>
      <c r="J81" s="27">
        <f t="shared" si="1"/>
        <v>2</v>
      </c>
    </row>
    <row r="82" spans="1:13" ht="33" customHeight="1" x14ac:dyDescent="0.3">
      <c r="A82" s="20">
        <v>38</v>
      </c>
      <c r="B82" s="20" t="s">
        <v>79</v>
      </c>
      <c r="C82" s="86" t="s">
        <v>680</v>
      </c>
      <c r="D82" s="87"/>
      <c r="E82" s="87"/>
      <c r="F82" s="87"/>
      <c r="G82" s="87"/>
      <c r="H82" s="88"/>
      <c r="I82" s="28" t="s">
        <v>617</v>
      </c>
      <c r="J82" s="27">
        <f t="shared" si="1"/>
        <v>2</v>
      </c>
    </row>
    <row r="83" spans="1:13" ht="48" customHeight="1" x14ac:dyDescent="0.3">
      <c r="A83" s="20">
        <v>39</v>
      </c>
      <c r="B83" s="20" t="s">
        <v>79</v>
      </c>
      <c r="C83" s="86" t="s">
        <v>81</v>
      </c>
      <c r="D83" s="87"/>
      <c r="E83" s="87"/>
      <c r="F83" s="87"/>
      <c r="G83" s="87"/>
      <c r="H83" s="88"/>
      <c r="I83" s="28" t="s">
        <v>617</v>
      </c>
      <c r="J83" s="27">
        <f t="shared" si="1"/>
        <v>2</v>
      </c>
    </row>
    <row r="84" spans="1:13" ht="58.5" customHeight="1" x14ac:dyDescent="0.3">
      <c r="A84" s="20">
        <v>40</v>
      </c>
      <c r="B84" s="20" t="s">
        <v>80</v>
      </c>
      <c r="C84" s="86" t="s">
        <v>681</v>
      </c>
      <c r="D84" s="87"/>
      <c r="E84" s="87"/>
      <c r="F84" s="87"/>
      <c r="G84" s="87"/>
      <c r="H84" s="88"/>
      <c r="I84" s="28" t="s">
        <v>617</v>
      </c>
      <c r="J84" s="27">
        <f t="shared" si="1"/>
        <v>2</v>
      </c>
    </row>
    <row r="85" spans="1:13" ht="44.25" customHeight="1" x14ac:dyDescent="0.3">
      <c r="A85" s="20">
        <v>41</v>
      </c>
      <c r="B85" s="20" t="s">
        <v>80</v>
      </c>
      <c r="C85" s="86" t="s">
        <v>682</v>
      </c>
      <c r="D85" s="87"/>
      <c r="E85" s="87"/>
      <c r="F85" s="87"/>
      <c r="G85" s="87"/>
      <c r="H85" s="88"/>
      <c r="I85" s="28" t="s">
        <v>614</v>
      </c>
      <c r="J85" s="27">
        <f t="shared" si="1"/>
        <v>2</v>
      </c>
    </row>
    <row r="86" spans="1:13" ht="45" customHeight="1" x14ac:dyDescent="0.3">
      <c r="A86" s="20">
        <v>42</v>
      </c>
      <c r="B86" s="20" t="s">
        <v>80</v>
      </c>
      <c r="C86" s="86" t="s">
        <v>82</v>
      </c>
      <c r="D86" s="87"/>
      <c r="E86" s="87"/>
      <c r="F86" s="87"/>
      <c r="G86" s="87"/>
      <c r="H86" s="88"/>
      <c r="I86" s="28" t="s">
        <v>614</v>
      </c>
      <c r="J86" s="27">
        <f t="shared" si="1"/>
        <v>2</v>
      </c>
    </row>
    <row r="87" spans="1:13" ht="36" customHeight="1" x14ac:dyDescent="0.3">
      <c r="A87" s="20">
        <v>43</v>
      </c>
      <c r="B87" s="20" t="s">
        <v>84</v>
      </c>
      <c r="C87" s="86" t="s">
        <v>83</v>
      </c>
      <c r="D87" s="87"/>
      <c r="E87" s="87"/>
      <c r="F87" s="87"/>
      <c r="G87" s="87"/>
      <c r="H87" s="88"/>
      <c r="I87" s="28" t="s">
        <v>617</v>
      </c>
      <c r="J87" s="27">
        <f t="shared" si="1"/>
        <v>2</v>
      </c>
      <c r="K87" s="129" t="s">
        <v>764</v>
      </c>
      <c r="L87" s="129" t="s">
        <v>765</v>
      </c>
      <c r="M87" s="129" t="s">
        <v>766</v>
      </c>
    </row>
    <row r="88" spans="1:13" ht="45" customHeight="1" x14ac:dyDescent="0.3">
      <c r="A88" s="20">
        <v>44</v>
      </c>
      <c r="B88" s="20" t="s">
        <v>84</v>
      </c>
      <c r="C88" s="86" t="s">
        <v>86</v>
      </c>
      <c r="D88" s="87"/>
      <c r="E88" s="87"/>
      <c r="F88" s="87"/>
      <c r="G88" s="87"/>
      <c r="H88" s="88"/>
      <c r="I88" s="28" t="s">
        <v>617</v>
      </c>
      <c r="J88" s="27">
        <f t="shared" si="1"/>
        <v>2</v>
      </c>
      <c r="K88" s="130">
        <f>SUM(J45:J88)</f>
        <v>80</v>
      </c>
      <c r="L88" s="130">
        <v>88</v>
      </c>
      <c r="M88" s="132">
        <f>(K88*100/88)%</f>
        <v>0.90909090909090906</v>
      </c>
    </row>
    <row r="89" spans="1:13" ht="29.25" customHeight="1" x14ac:dyDescent="0.3">
      <c r="A89" s="13" t="s">
        <v>13</v>
      </c>
      <c r="B89" s="18" t="s">
        <v>14</v>
      </c>
      <c r="C89" s="84" t="s">
        <v>743</v>
      </c>
      <c r="D89" s="85"/>
      <c r="E89" s="85"/>
      <c r="F89" s="85"/>
      <c r="G89" s="85"/>
      <c r="H89" s="85"/>
      <c r="I89" s="26" t="s">
        <v>620</v>
      </c>
      <c r="J89" s="26" t="s">
        <v>621</v>
      </c>
    </row>
    <row r="90" spans="1:13" ht="61.5" customHeight="1" x14ac:dyDescent="0.3">
      <c r="A90" s="11">
        <v>1</v>
      </c>
      <c r="B90" s="20" t="s">
        <v>85</v>
      </c>
      <c r="C90" s="86" t="s">
        <v>683</v>
      </c>
      <c r="D90" s="87"/>
      <c r="E90" s="87"/>
      <c r="F90" s="87"/>
      <c r="G90" s="87"/>
      <c r="H90" s="88"/>
      <c r="I90" s="28" t="s">
        <v>617</v>
      </c>
      <c r="J90" s="27">
        <f t="shared" si="1"/>
        <v>2</v>
      </c>
    </row>
    <row r="91" spans="1:13" ht="65.25" customHeight="1" x14ac:dyDescent="0.3">
      <c r="A91" s="11">
        <v>2</v>
      </c>
      <c r="B91" s="20" t="s">
        <v>87</v>
      </c>
      <c r="C91" s="86" t="s">
        <v>684</v>
      </c>
      <c r="D91" s="87"/>
      <c r="E91" s="87"/>
      <c r="F91" s="87"/>
      <c r="G91" s="87"/>
      <c r="H91" s="88"/>
      <c r="I91" s="28" t="s">
        <v>617</v>
      </c>
      <c r="J91" s="27">
        <f t="shared" si="1"/>
        <v>2</v>
      </c>
    </row>
    <row r="92" spans="1:13" ht="36.75" customHeight="1" x14ac:dyDescent="0.3">
      <c r="A92" s="11">
        <v>3</v>
      </c>
      <c r="B92" s="20" t="s">
        <v>88</v>
      </c>
      <c r="C92" s="86" t="s">
        <v>685</v>
      </c>
      <c r="D92" s="87"/>
      <c r="E92" s="87"/>
      <c r="F92" s="87"/>
      <c r="G92" s="87"/>
      <c r="H92" s="88"/>
      <c r="I92" s="28" t="s">
        <v>617</v>
      </c>
      <c r="J92" s="27">
        <f t="shared" si="1"/>
        <v>2</v>
      </c>
    </row>
    <row r="93" spans="1:13" ht="30" customHeight="1" x14ac:dyDescent="0.3">
      <c r="A93" s="11">
        <v>4</v>
      </c>
      <c r="B93" s="20" t="s">
        <v>88</v>
      </c>
      <c r="C93" s="86" t="s">
        <v>89</v>
      </c>
      <c r="D93" s="87"/>
      <c r="E93" s="87"/>
      <c r="F93" s="87"/>
      <c r="G93" s="87"/>
      <c r="H93" s="88"/>
      <c r="I93" s="28" t="s">
        <v>617</v>
      </c>
      <c r="J93" s="27">
        <f t="shared" si="1"/>
        <v>2</v>
      </c>
    </row>
    <row r="94" spans="1:13" ht="30" customHeight="1" x14ac:dyDescent="0.3">
      <c r="A94" s="11">
        <v>5</v>
      </c>
      <c r="B94" s="20" t="s">
        <v>88</v>
      </c>
      <c r="C94" s="86" t="s">
        <v>686</v>
      </c>
      <c r="D94" s="87"/>
      <c r="E94" s="87"/>
      <c r="F94" s="87"/>
      <c r="G94" s="87"/>
      <c r="H94" s="88"/>
      <c r="I94" s="28" t="s">
        <v>616</v>
      </c>
      <c r="J94" s="131">
        <f t="shared" si="1"/>
        <v>1</v>
      </c>
    </row>
    <row r="95" spans="1:13" ht="30" customHeight="1" x14ac:dyDescent="0.3">
      <c r="A95" s="11">
        <v>6</v>
      </c>
      <c r="B95" s="20" t="s">
        <v>88</v>
      </c>
      <c r="C95" s="86" t="s">
        <v>687</v>
      </c>
      <c r="D95" s="87"/>
      <c r="E95" s="87"/>
      <c r="F95" s="87"/>
      <c r="G95" s="87"/>
      <c r="H95" s="88"/>
      <c r="I95" s="28" t="s">
        <v>614</v>
      </c>
      <c r="J95" s="27">
        <f t="shared" si="1"/>
        <v>2</v>
      </c>
    </row>
    <row r="96" spans="1:13" ht="42.75" customHeight="1" x14ac:dyDescent="0.3">
      <c r="A96" s="11">
        <v>7</v>
      </c>
      <c r="B96" s="20" t="s">
        <v>88</v>
      </c>
      <c r="C96" s="86" t="s">
        <v>688</v>
      </c>
      <c r="D96" s="87"/>
      <c r="E96" s="87"/>
      <c r="F96" s="87"/>
      <c r="G96" s="87"/>
      <c r="H96" s="88"/>
      <c r="I96" s="28" t="s">
        <v>617</v>
      </c>
      <c r="J96" s="27">
        <f t="shared" si="1"/>
        <v>2</v>
      </c>
    </row>
    <row r="97" spans="1:13" ht="49.5" customHeight="1" x14ac:dyDescent="0.3">
      <c r="A97" s="11">
        <v>8</v>
      </c>
      <c r="B97" s="20" t="s">
        <v>88</v>
      </c>
      <c r="C97" s="86" t="s">
        <v>689</v>
      </c>
      <c r="D97" s="87"/>
      <c r="E97" s="87"/>
      <c r="F97" s="87"/>
      <c r="G97" s="87"/>
      <c r="H97" s="88"/>
      <c r="I97" s="28" t="s">
        <v>617</v>
      </c>
      <c r="J97" s="27">
        <f t="shared" si="1"/>
        <v>2</v>
      </c>
    </row>
    <row r="98" spans="1:13" ht="30.75" customHeight="1" x14ac:dyDescent="0.3">
      <c r="A98" s="11">
        <v>9</v>
      </c>
      <c r="B98" s="20" t="s">
        <v>90</v>
      </c>
      <c r="C98" s="86" t="s">
        <v>91</v>
      </c>
      <c r="D98" s="87"/>
      <c r="E98" s="87"/>
      <c r="F98" s="87"/>
      <c r="G98" s="87"/>
      <c r="H98" s="88"/>
      <c r="I98" s="28" t="s">
        <v>615</v>
      </c>
      <c r="J98" s="131">
        <f t="shared" si="1"/>
        <v>0</v>
      </c>
    </row>
    <row r="99" spans="1:13" ht="30.75" customHeight="1" x14ac:dyDescent="0.3">
      <c r="A99" s="11">
        <v>10</v>
      </c>
      <c r="B99" s="20" t="s">
        <v>90</v>
      </c>
      <c r="C99" s="86" t="s">
        <v>92</v>
      </c>
      <c r="D99" s="87"/>
      <c r="E99" s="87"/>
      <c r="F99" s="87"/>
      <c r="G99" s="87"/>
      <c r="H99" s="88"/>
      <c r="I99" s="28" t="s">
        <v>615</v>
      </c>
      <c r="J99" s="131">
        <f t="shared" si="1"/>
        <v>0</v>
      </c>
      <c r="K99" s="129" t="s">
        <v>764</v>
      </c>
      <c r="L99" s="129" t="s">
        <v>765</v>
      </c>
      <c r="M99" s="129" t="s">
        <v>766</v>
      </c>
    </row>
    <row r="100" spans="1:13" ht="30.75" customHeight="1" x14ac:dyDescent="0.3">
      <c r="A100" s="11">
        <v>11</v>
      </c>
      <c r="B100" s="20" t="s">
        <v>90</v>
      </c>
      <c r="C100" s="86" t="s">
        <v>690</v>
      </c>
      <c r="D100" s="87"/>
      <c r="E100" s="87"/>
      <c r="F100" s="87"/>
      <c r="G100" s="87"/>
      <c r="H100" s="88"/>
      <c r="I100" s="28" t="s">
        <v>617</v>
      </c>
      <c r="J100" s="27">
        <f t="shared" si="1"/>
        <v>2</v>
      </c>
      <c r="K100" s="130">
        <f>SUM(J90:J100)</f>
        <v>17</v>
      </c>
      <c r="L100" s="130">
        <v>22</v>
      </c>
      <c r="M100" s="132">
        <f>(K100*100/22)%</f>
        <v>0.77272727272727271</v>
      </c>
    </row>
    <row r="101" spans="1:13" ht="45" customHeight="1" x14ac:dyDescent="0.3">
      <c r="A101" s="13" t="s">
        <v>13</v>
      </c>
      <c r="B101" s="18" t="s">
        <v>14</v>
      </c>
      <c r="C101" s="82" t="s">
        <v>744</v>
      </c>
      <c r="D101" s="83"/>
      <c r="E101" s="83"/>
      <c r="F101" s="83"/>
      <c r="G101" s="83"/>
      <c r="H101" s="83"/>
      <c r="I101" s="26" t="s">
        <v>620</v>
      </c>
      <c r="J101" s="26" t="s">
        <v>621</v>
      </c>
    </row>
    <row r="102" spans="1:13" ht="42.75" customHeight="1" x14ac:dyDescent="0.3">
      <c r="A102" s="11">
        <v>1</v>
      </c>
      <c r="B102" s="20" t="s">
        <v>93</v>
      </c>
      <c r="C102" s="86" t="s">
        <v>691</v>
      </c>
      <c r="D102" s="87"/>
      <c r="E102" s="87"/>
      <c r="F102" s="87"/>
      <c r="G102" s="87"/>
      <c r="H102" s="88"/>
      <c r="I102" s="28" t="s">
        <v>615</v>
      </c>
      <c r="J102" s="27">
        <f t="shared" si="1"/>
        <v>0</v>
      </c>
    </row>
    <row r="103" spans="1:13" ht="106.5" customHeight="1" x14ac:dyDescent="0.3">
      <c r="A103" s="11">
        <v>2</v>
      </c>
      <c r="B103" s="20" t="s">
        <v>93</v>
      </c>
      <c r="C103" s="86" t="s">
        <v>692</v>
      </c>
      <c r="D103" s="87"/>
      <c r="E103" s="87"/>
      <c r="F103" s="87"/>
      <c r="G103" s="87"/>
      <c r="H103" s="88"/>
      <c r="I103" s="28" t="s">
        <v>615</v>
      </c>
      <c r="J103" s="27">
        <f t="shared" si="1"/>
        <v>0</v>
      </c>
    </row>
    <row r="104" spans="1:13" ht="45" customHeight="1" x14ac:dyDescent="0.3">
      <c r="A104" s="11">
        <v>3</v>
      </c>
      <c r="B104" s="20" t="s">
        <v>94</v>
      </c>
      <c r="C104" s="86" t="s">
        <v>95</v>
      </c>
      <c r="D104" s="87"/>
      <c r="E104" s="87"/>
      <c r="F104" s="87"/>
      <c r="G104" s="87"/>
      <c r="H104" s="88"/>
      <c r="I104" s="28" t="s">
        <v>614</v>
      </c>
      <c r="J104" s="27">
        <f t="shared" si="1"/>
        <v>2</v>
      </c>
      <c r="K104" s="129" t="s">
        <v>764</v>
      </c>
      <c r="L104" s="129" t="s">
        <v>765</v>
      </c>
      <c r="M104" s="129" t="s">
        <v>766</v>
      </c>
    </row>
    <row r="105" spans="1:13" ht="27" customHeight="1" x14ac:dyDescent="0.3">
      <c r="A105" s="13" t="s">
        <v>13</v>
      </c>
      <c r="B105" s="18" t="s">
        <v>14</v>
      </c>
      <c r="C105" s="96" t="s">
        <v>745</v>
      </c>
      <c r="D105" s="97"/>
      <c r="E105" s="97"/>
      <c r="F105" s="97"/>
      <c r="G105" s="97"/>
      <c r="H105" s="97"/>
      <c r="I105" s="26" t="s">
        <v>620</v>
      </c>
      <c r="J105" s="26" t="s">
        <v>621</v>
      </c>
      <c r="K105" s="130">
        <v>2</v>
      </c>
      <c r="L105" s="130">
        <v>6</v>
      </c>
      <c r="M105" s="132">
        <f>(K105*100/6)%</f>
        <v>0.33333333333333337</v>
      </c>
    </row>
    <row r="106" spans="1:13" ht="27" customHeight="1" x14ac:dyDescent="0.3">
      <c r="A106" s="135" t="s">
        <v>767</v>
      </c>
      <c r="B106" s="136"/>
      <c r="C106" s="136"/>
      <c r="D106" s="136"/>
      <c r="E106" s="136"/>
      <c r="F106" s="136"/>
      <c r="G106" s="136"/>
      <c r="H106" s="136"/>
      <c r="I106" s="136"/>
      <c r="J106" s="137"/>
      <c r="K106" s="133"/>
      <c r="L106" s="133"/>
      <c r="M106" s="134"/>
    </row>
    <row r="107" spans="1:13" ht="30.75" customHeight="1" x14ac:dyDescent="0.3">
      <c r="A107" s="13" t="s">
        <v>13</v>
      </c>
      <c r="B107" s="18" t="s">
        <v>14</v>
      </c>
      <c r="C107" s="96" t="s">
        <v>746</v>
      </c>
      <c r="D107" s="97"/>
      <c r="E107" s="97"/>
      <c r="F107" s="97"/>
      <c r="G107" s="97"/>
      <c r="H107" s="97"/>
      <c r="I107" s="26" t="s">
        <v>620</v>
      </c>
      <c r="J107" s="26" t="s">
        <v>621</v>
      </c>
    </row>
    <row r="108" spans="1:13" ht="48" customHeight="1" x14ac:dyDescent="0.3">
      <c r="A108" s="11">
        <v>1</v>
      </c>
      <c r="B108" s="20" t="s">
        <v>96</v>
      </c>
      <c r="C108" s="86" t="s">
        <v>693</v>
      </c>
      <c r="D108" s="87"/>
      <c r="E108" s="87"/>
      <c r="F108" s="87"/>
      <c r="G108" s="87"/>
      <c r="H108" s="88"/>
      <c r="I108" s="28" t="s">
        <v>617</v>
      </c>
      <c r="J108" s="27">
        <f t="shared" si="1"/>
        <v>2</v>
      </c>
    </row>
    <row r="109" spans="1:13" ht="51.75" customHeight="1" x14ac:dyDescent="0.3">
      <c r="A109" s="11">
        <v>2</v>
      </c>
      <c r="B109" s="20" t="s">
        <v>96</v>
      </c>
      <c r="C109" s="86" t="s">
        <v>694</v>
      </c>
      <c r="D109" s="87"/>
      <c r="E109" s="87"/>
      <c r="F109" s="87"/>
      <c r="G109" s="87"/>
      <c r="H109" s="88"/>
      <c r="I109" s="28" t="s">
        <v>617</v>
      </c>
      <c r="J109" s="27">
        <f t="shared" si="1"/>
        <v>2</v>
      </c>
    </row>
    <row r="110" spans="1:13" ht="51.75" customHeight="1" x14ac:dyDescent="0.3">
      <c r="A110" s="11">
        <v>3</v>
      </c>
      <c r="B110" s="20" t="s">
        <v>96</v>
      </c>
      <c r="C110" s="86" t="s">
        <v>695</v>
      </c>
      <c r="D110" s="87"/>
      <c r="E110" s="87"/>
      <c r="F110" s="87"/>
      <c r="G110" s="87"/>
      <c r="H110" s="88"/>
      <c r="I110" s="28" t="s">
        <v>617</v>
      </c>
      <c r="J110" s="27">
        <f t="shared" si="1"/>
        <v>2</v>
      </c>
    </row>
    <row r="111" spans="1:13" ht="75" customHeight="1" x14ac:dyDescent="0.3">
      <c r="A111" s="11">
        <v>4</v>
      </c>
      <c r="B111" s="20" t="s">
        <v>96</v>
      </c>
      <c r="C111" s="86" t="s">
        <v>696</v>
      </c>
      <c r="D111" s="87"/>
      <c r="E111" s="87"/>
      <c r="F111" s="87"/>
      <c r="G111" s="87"/>
      <c r="H111" s="88"/>
      <c r="I111" s="28" t="s">
        <v>617</v>
      </c>
      <c r="J111" s="27">
        <f t="shared" si="1"/>
        <v>2</v>
      </c>
      <c r="K111" s="129" t="s">
        <v>764</v>
      </c>
      <c r="L111" s="129" t="s">
        <v>765</v>
      </c>
      <c r="M111" s="129" t="s">
        <v>766</v>
      </c>
    </row>
    <row r="112" spans="1:13" ht="36" customHeight="1" x14ac:dyDescent="0.3">
      <c r="A112" s="13" t="s">
        <v>13</v>
      </c>
      <c r="B112" s="18" t="s">
        <v>14</v>
      </c>
      <c r="C112" s="96" t="s">
        <v>747</v>
      </c>
      <c r="D112" s="97"/>
      <c r="E112" s="97"/>
      <c r="F112" s="97"/>
      <c r="G112" s="97"/>
      <c r="H112" s="97"/>
      <c r="I112" s="26" t="s">
        <v>620</v>
      </c>
      <c r="J112" s="26" t="s">
        <v>621</v>
      </c>
      <c r="K112" s="130">
        <v>8</v>
      </c>
      <c r="L112" s="130">
        <v>8</v>
      </c>
      <c r="M112" s="132">
        <f>(K112*100/8)%</f>
        <v>1</v>
      </c>
    </row>
    <row r="113" spans="1:13" ht="50.25" customHeight="1" x14ac:dyDescent="0.3">
      <c r="A113" s="11">
        <v>1</v>
      </c>
      <c r="B113" s="20" t="s">
        <v>97</v>
      </c>
      <c r="C113" s="86" t="s">
        <v>703</v>
      </c>
      <c r="D113" s="87"/>
      <c r="E113" s="87"/>
      <c r="F113" s="87"/>
      <c r="G113" s="87"/>
      <c r="H113" s="88"/>
      <c r="I113" s="28" t="s">
        <v>617</v>
      </c>
      <c r="J113" s="27">
        <f t="shared" si="1"/>
        <v>2</v>
      </c>
    </row>
    <row r="114" spans="1:13" ht="40.5" customHeight="1" x14ac:dyDescent="0.3">
      <c r="A114" s="11">
        <v>2</v>
      </c>
      <c r="B114" s="20" t="s">
        <v>97</v>
      </c>
      <c r="C114" s="86" t="s">
        <v>697</v>
      </c>
      <c r="D114" s="87"/>
      <c r="E114" s="87"/>
      <c r="F114" s="87"/>
      <c r="G114" s="87"/>
      <c r="H114" s="88"/>
      <c r="I114" s="28" t="s">
        <v>615</v>
      </c>
      <c r="J114" s="131">
        <f t="shared" si="1"/>
        <v>0</v>
      </c>
    </row>
    <row r="115" spans="1:13" ht="61.5" customHeight="1" x14ac:dyDescent="0.3">
      <c r="A115" s="11">
        <v>3</v>
      </c>
      <c r="B115" s="20" t="s">
        <v>97</v>
      </c>
      <c r="C115" s="86" t="s">
        <v>698</v>
      </c>
      <c r="D115" s="87"/>
      <c r="E115" s="87"/>
      <c r="F115" s="87"/>
      <c r="G115" s="87"/>
      <c r="H115" s="88"/>
      <c r="I115" s="28" t="s">
        <v>615</v>
      </c>
      <c r="J115" s="131">
        <f t="shared" si="1"/>
        <v>0</v>
      </c>
    </row>
    <row r="116" spans="1:13" ht="52.5" customHeight="1" x14ac:dyDescent="0.3">
      <c r="A116" s="11">
        <v>4</v>
      </c>
      <c r="B116" s="20" t="s">
        <v>97</v>
      </c>
      <c r="C116" s="86" t="s">
        <v>699</v>
      </c>
      <c r="D116" s="87"/>
      <c r="E116" s="87"/>
      <c r="F116" s="87"/>
      <c r="G116" s="87"/>
      <c r="H116" s="88"/>
      <c r="I116" s="28" t="s">
        <v>615</v>
      </c>
      <c r="J116" s="131">
        <f t="shared" si="1"/>
        <v>0</v>
      </c>
    </row>
    <row r="117" spans="1:13" ht="63.75" customHeight="1" x14ac:dyDescent="0.3">
      <c r="A117" s="11">
        <v>5</v>
      </c>
      <c r="B117" s="20" t="s">
        <v>97</v>
      </c>
      <c r="C117" s="86" t="s">
        <v>700</v>
      </c>
      <c r="D117" s="87"/>
      <c r="E117" s="87"/>
      <c r="F117" s="87"/>
      <c r="G117" s="87"/>
      <c r="H117" s="88"/>
      <c r="I117" s="28" t="s">
        <v>616</v>
      </c>
      <c r="J117" s="131">
        <f t="shared" si="1"/>
        <v>1</v>
      </c>
    </row>
    <row r="118" spans="1:13" ht="57.75" customHeight="1" x14ac:dyDescent="0.3">
      <c r="A118" s="11">
        <v>6</v>
      </c>
      <c r="B118" s="20" t="s">
        <v>97</v>
      </c>
      <c r="C118" s="86" t="s">
        <v>701</v>
      </c>
      <c r="D118" s="87"/>
      <c r="E118" s="87"/>
      <c r="F118" s="87"/>
      <c r="G118" s="87"/>
      <c r="H118" s="88"/>
      <c r="I118" s="28" t="s">
        <v>615</v>
      </c>
      <c r="J118" s="131">
        <f t="shared" si="1"/>
        <v>0</v>
      </c>
      <c r="K118" s="129" t="s">
        <v>764</v>
      </c>
      <c r="L118" s="129" t="s">
        <v>765</v>
      </c>
      <c r="M118" s="129" t="s">
        <v>766</v>
      </c>
    </row>
    <row r="119" spans="1:13" ht="38.25" customHeight="1" x14ac:dyDescent="0.3">
      <c r="A119" s="11">
        <v>7</v>
      </c>
      <c r="B119" s="20" t="s">
        <v>97</v>
      </c>
      <c r="C119" s="86" t="s">
        <v>702</v>
      </c>
      <c r="D119" s="87"/>
      <c r="E119" s="87"/>
      <c r="F119" s="87"/>
      <c r="G119" s="87"/>
      <c r="H119" s="88"/>
      <c r="I119" s="28" t="s">
        <v>617</v>
      </c>
      <c r="J119" s="27">
        <f t="shared" si="1"/>
        <v>2</v>
      </c>
      <c r="K119" s="130">
        <v>5</v>
      </c>
      <c r="L119" s="130">
        <v>14</v>
      </c>
      <c r="M119" s="132">
        <f>(K119*100/14)%</f>
        <v>0.35714285714285715</v>
      </c>
    </row>
    <row r="120" spans="1:13" ht="57" customHeight="1" x14ac:dyDescent="0.3">
      <c r="A120" s="13" t="s">
        <v>13</v>
      </c>
      <c r="B120" s="18" t="s">
        <v>14</v>
      </c>
      <c r="C120" s="96" t="s">
        <v>748</v>
      </c>
      <c r="D120" s="97"/>
      <c r="E120" s="97"/>
      <c r="F120" s="97"/>
      <c r="G120" s="97"/>
      <c r="H120" s="97"/>
      <c r="I120" s="26" t="s">
        <v>620</v>
      </c>
      <c r="J120" s="26" t="s">
        <v>621</v>
      </c>
    </row>
    <row r="121" spans="1:13" ht="112.5" customHeight="1" x14ac:dyDescent="0.3">
      <c r="A121" s="11">
        <v>1</v>
      </c>
      <c r="B121" s="20" t="s">
        <v>98</v>
      </c>
      <c r="C121" s="86" t="s">
        <v>704</v>
      </c>
      <c r="D121" s="87"/>
      <c r="E121" s="87"/>
      <c r="F121" s="87"/>
      <c r="G121" s="87"/>
      <c r="H121" s="88"/>
      <c r="I121" s="28" t="s">
        <v>615</v>
      </c>
      <c r="J121" s="27">
        <f t="shared" si="1"/>
        <v>0</v>
      </c>
    </row>
    <row r="122" spans="1:13" ht="127.5" customHeight="1" x14ac:dyDescent="0.3">
      <c r="A122" s="11">
        <v>2</v>
      </c>
      <c r="B122" s="20" t="s">
        <v>98</v>
      </c>
      <c r="C122" s="86" t="s">
        <v>705</v>
      </c>
      <c r="D122" s="87"/>
      <c r="E122" s="87"/>
      <c r="F122" s="87"/>
      <c r="G122" s="87"/>
      <c r="H122" s="88"/>
      <c r="I122" s="28" t="s">
        <v>615</v>
      </c>
      <c r="J122" s="27">
        <f t="shared" si="1"/>
        <v>0</v>
      </c>
    </row>
    <row r="123" spans="1:13" ht="36" customHeight="1" x14ac:dyDescent="0.3">
      <c r="A123" s="11">
        <v>3</v>
      </c>
      <c r="B123" s="20" t="s">
        <v>98</v>
      </c>
      <c r="C123" s="86" t="s">
        <v>706</v>
      </c>
      <c r="D123" s="87"/>
      <c r="E123" s="87"/>
      <c r="F123" s="87"/>
      <c r="G123" s="87"/>
      <c r="H123" s="88"/>
      <c r="I123" s="28" t="s">
        <v>614</v>
      </c>
      <c r="J123" s="27">
        <f t="shared" ref="J123:J129" si="2">IF(I123="No cumple",0,IF(I123="No aplica",2,IF(I123="Cumple totalmente",2,IF(I123="Cumple parcialmente",1))))</f>
        <v>2</v>
      </c>
    </row>
    <row r="124" spans="1:13" ht="57" customHeight="1" x14ac:dyDescent="0.3">
      <c r="A124" s="11">
        <v>4</v>
      </c>
      <c r="B124" s="20" t="s">
        <v>98</v>
      </c>
      <c r="C124" s="86" t="s">
        <v>707</v>
      </c>
      <c r="D124" s="87"/>
      <c r="E124" s="87"/>
      <c r="F124" s="87"/>
      <c r="G124" s="87"/>
      <c r="H124" s="88"/>
      <c r="I124" s="28" t="s">
        <v>615</v>
      </c>
      <c r="J124" s="27">
        <f t="shared" si="2"/>
        <v>0</v>
      </c>
    </row>
    <row r="125" spans="1:13" ht="35.25" customHeight="1" x14ac:dyDescent="0.3">
      <c r="A125" s="11">
        <v>5</v>
      </c>
      <c r="B125" s="20" t="s">
        <v>99</v>
      </c>
      <c r="C125" s="86" t="s">
        <v>708</v>
      </c>
      <c r="D125" s="87"/>
      <c r="E125" s="87"/>
      <c r="F125" s="87"/>
      <c r="G125" s="87"/>
      <c r="H125" s="88"/>
      <c r="I125" s="28" t="s">
        <v>617</v>
      </c>
      <c r="J125" s="27">
        <f t="shared" si="2"/>
        <v>2</v>
      </c>
    </row>
    <row r="126" spans="1:13" ht="38.25" customHeight="1" x14ac:dyDescent="0.3">
      <c r="A126" s="11">
        <v>6</v>
      </c>
      <c r="B126" s="20" t="s">
        <v>99</v>
      </c>
      <c r="C126" s="86" t="s">
        <v>709</v>
      </c>
      <c r="D126" s="87"/>
      <c r="E126" s="87"/>
      <c r="F126" s="87"/>
      <c r="G126" s="87"/>
      <c r="H126" s="88"/>
      <c r="I126" s="28" t="s">
        <v>617</v>
      </c>
      <c r="J126" s="27">
        <f t="shared" si="2"/>
        <v>2</v>
      </c>
    </row>
    <row r="127" spans="1:13" ht="48" customHeight="1" x14ac:dyDescent="0.3">
      <c r="A127" s="11">
        <v>7</v>
      </c>
      <c r="B127" s="20" t="s">
        <v>99</v>
      </c>
      <c r="C127" s="86" t="s">
        <v>710</v>
      </c>
      <c r="D127" s="87"/>
      <c r="E127" s="87"/>
      <c r="F127" s="87"/>
      <c r="G127" s="87"/>
      <c r="H127" s="88"/>
      <c r="I127" s="28" t="s">
        <v>617</v>
      </c>
      <c r="J127" s="27">
        <f t="shared" si="2"/>
        <v>2</v>
      </c>
    </row>
    <row r="128" spans="1:13" ht="59.25" customHeight="1" x14ac:dyDescent="0.3">
      <c r="A128" s="11">
        <v>8</v>
      </c>
      <c r="B128" s="20" t="s">
        <v>99</v>
      </c>
      <c r="C128" s="86" t="s">
        <v>711</v>
      </c>
      <c r="D128" s="87"/>
      <c r="E128" s="87"/>
      <c r="F128" s="87"/>
      <c r="G128" s="87"/>
      <c r="H128" s="88"/>
      <c r="I128" s="28" t="s">
        <v>617</v>
      </c>
      <c r="J128" s="27">
        <f t="shared" si="2"/>
        <v>2</v>
      </c>
      <c r="K128" s="129" t="s">
        <v>764</v>
      </c>
      <c r="L128" s="129" t="s">
        <v>765</v>
      </c>
      <c r="M128" s="129" t="s">
        <v>766</v>
      </c>
    </row>
    <row r="129" spans="1:13" ht="57" customHeight="1" x14ac:dyDescent="0.3">
      <c r="A129" s="11">
        <v>9</v>
      </c>
      <c r="B129" s="21" t="s">
        <v>99</v>
      </c>
      <c r="C129" s="86" t="s">
        <v>712</v>
      </c>
      <c r="D129" s="87"/>
      <c r="E129" s="87"/>
      <c r="F129" s="87"/>
      <c r="G129" s="87"/>
      <c r="H129" s="88"/>
      <c r="I129" s="28" t="s">
        <v>617</v>
      </c>
      <c r="J129" s="27">
        <f t="shared" si="2"/>
        <v>2</v>
      </c>
      <c r="K129" s="130">
        <v>12</v>
      </c>
      <c r="L129" s="130">
        <v>18</v>
      </c>
      <c r="M129" s="132">
        <f>(K129*100/18)%</f>
        <v>0.66666666666666674</v>
      </c>
    </row>
    <row r="134" spans="1:13" x14ac:dyDescent="0.3">
      <c r="M134" s="9">
        <f>+A129+A119+A111+A104+A100+A88+A43+A40</f>
        <v>113</v>
      </c>
    </row>
    <row r="135" spans="1:13" x14ac:dyDescent="0.3">
      <c r="M135" s="9">
        <f>113*2</f>
        <v>226</v>
      </c>
    </row>
  </sheetData>
  <mergeCells count="125">
    <mergeCell ref="A106:J106"/>
    <mergeCell ref="A1:J1"/>
    <mergeCell ref="C7:H7"/>
    <mergeCell ref="A6:J6"/>
    <mergeCell ref="C101:H101"/>
    <mergeCell ref="C105:H105"/>
    <mergeCell ref="C107:H107"/>
    <mergeCell ref="C112:H112"/>
    <mergeCell ref="C120:H120"/>
    <mergeCell ref="C129:H129"/>
    <mergeCell ref="C128:H128"/>
    <mergeCell ref="C108:H108"/>
    <mergeCell ref="C109:H109"/>
    <mergeCell ref="C104:H104"/>
    <mergeCell ref="C102:H102"/>
    <mergeCell ref="C103:H103"/>
    <mergeCell ref="C92:H92"/>
    <mergeCell ref="C61:H61"/>
    <mergeCell ref="C75:H75"/>
    <mergeCell ref="C76:H76"/>
    <mergeCell ref="C70:H70"/>
    <mergeCell ref="C71:H71"/>
    <mergeCell ref="C85:H85"/>
    <mergeCell ref="C86:H86"/>
    <mergeCell ref="C87:H87"/>
    <mergeCell ref="C62:H62"/>
    <mergeCell ref="C63:H63"/>
    <mergeCell ref="C64:H64"/>
    <mergeCell ref="C65:H65"/>
    <mergeCell ref="C66:H66"/>
    <mergeCell ref="C67:H67"/>
    <mergeCell ref="C69:H69"/>
    <mergeCell ref="C77:H77"/>
    <mergeCell ref="C78:H78"/>
    <mergeCell ref="C24:H24"/>
    <mergeCell ref="C25:H25"/>
    <mergeCell ref="C26:H26"/>
    <mergeCell ref="C27:H27"/>
    <mergeCell ref="C28:H28"/>
    <mergeCell ref="C90:H90"/>
    <mergeCell ref="C91:H91"/>
    <mergeCell ref="C42:H42"/>
    <mergeCell ref="C45:H45"/>
    <mergeCell ref="C46:H46"/>
    <mergeCell ref="C47:H47"/>
    <mergeCell ref="C48:H48"/>
    <mergeCell ref="C29:H29"/>
    <mergeCell ref="C30:H30"/>
    <mergeCell ref="C31:H31"/>
    <mergeCell ref="C32:H32"/>
    <mergeCell ref="C33:H33"/>
    <mergeCell ref="C36:H36"/>
    <mergeCell ref="C37:H37"/>
    <mergeCell ref="C38:H38"/>
    <mergeCell ref="C58:H58"/>
    <mergeCell ref="C59:H59"/>
    <mergeCell ref="C79:H79"/>
    <mergeCell ref="C80:H80"/>
    <mergeCell ref="C13:H13"/>
    <mergeCell ref="C14:H14"/>
    <mergeCell ref="C15:H15"/>
    <mergeCell ref="C16:H16"/>
    <mergeCell ref="C17:H17"/>
    <mergeCell ref="C22:H22"/>
    <mergeCell ref="C23:H23"/>
    <mergeCell ref="C18:H18"/>
    <mergeCell ref="C19:H19"/>
    <mergeCell ref="C8:H8"/>
    <mergeCell ref="C20:H20"/>
    <mergeCell ref="C21:H21"/>
    <mergeCell ref="C88:H88"/>
    <mergeCell ref="C39:H39"/>
    <mergeCell ref="C40:H40"/>
    <mergeCell ref="C43:H43"/>
    <mergeCell ref="C34:H34"/>
    <mergeCell ref="C49:H49"/>
    <mergeCell ref="C50:H50"/>
    <mergeCell ref="C55:H55"/>
    <mergeCell ref="C68:H68"/>
    <mergeCell ref="C51:H51"/>
    <mergeCell ref="C52:H52"/>
    <mergeCell ref="C53:H53"/>
    <mergeCell ref="C54:H54"/>
    <mergeCell ref="C56:H56"/>
    <mergeCell ref="C57:H57"/>
    <mergeCell ref="C60:H60"/>
    <mergeCell ref="C35:H35"/>
    <mergeCell ref="C10:H10"/>
    <mergeCell ref="C9:H9"/>
    <mergeCell ref="C11:H11"/>
    <mergeCell ref="C12:H12"/>
    <mergeCell ref="C98:H98"/>
    <mergeCell ref="C99:H99"/>
    <mergeCell ref="C81:H81"/>
    <mergeCell ref="C82:H82"/>
    <mergeCell ref="C83:H83"/>
    <mergeCell ref="C84:H84"/>
    <mergeCell ref="C125:H125"/>
    <mergeCell ref="C126:H126"/>
    <mergeCell ref="C127:H127"/>
    <mergeCell ref="C113:H113"/>
    <mergeCell ref="C116:H116"/>
    <mergeCell ref="C119:H119"/>
    <mergeCell ref="C121:H121"/>
    <mergeCell ref="C122:H122"/>
    <mergeCell ref="C124:H124"/>
    <mergeCell ref="C44:H44"/>
    <mergeCell ref="C41:H41"/>
    <mergeCell ref="C89:H89"/>
    <mergeCell ref="C111:H111"/>
    <mergeCell ref="C114:H114"/>
    <mergeCell ref="C115:H115"/>
    <mergeCell ref="C117:H117"/>
    <mergeCell ref="C118:H118"/>
    <mergeCell ref="C123:H123"/>
    <mergeCell ref="C110:H110"/>
    <mergeCell ref="C72:H72"/>
    <mergeCell ref="C73:H73"/>
    <mergeCell ref="C74:H74"/>
    <mergeCell ref="C100:H100"/>
    <mergeCell ref="C93:H93"/>
    <mergeCell ref="C97:H97"/>
    <mergeCell ref="C94:H94"/>
    <mergeCell ref="C95:H95"/>
    <mergeCell ref="C96:H9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Lista!$C$2:$C$5</xm:f>
          </x14:formula1>
          <xm:sqref>I45:I88 I102:I104 I108:I111 I113:I119 I42:I43 I8:I40 I90:I100 I121:I129</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topLeftCell="A2" zoomScaleNormal="100" workbookViewId="0">
      <selection activeCell="A8" sqref="A8"/>
    </sheetView>
  </sheetViews>
  <sheetFormatPr baseColWidth="10" defaultColWidth="10.77734375" defaultRowHeight="15" x14ac:dyDescent="0.3"/>
  <cols>
    <col min="1" max="1" width="7.77734375" style="36" customWidth="1"/>
    <col min="2" max="2" width="18.21875" style="36" customWidth="1"/>
    <col min="3" max="3" width="8.77734375" style="31" customWidth="1"/>
    <col min="4" max="4" width="7.5546875" style="31" customWidth="1"/>
    <col min="5" max="5" width="8.5546875" style="31" customWidth="1"/>
    <col min="6" max="6" width="8.77734375" style="31" customWidth="1"/>
    <col min="7" max="7" width="9.77734375" style="31" customWidth="1"/>
    <col min="8" max="8" width="15.21875" style="31" customWidth="1"/>
    <col min="9" max="9" width="22.77734375" style="36" customWidth="1"/>
    <col min="10" max="10" width="17.21875" style="36" customWidth="1"/>
    <col min="11" max="16384" width="10.77734375" style="31"/>
  </cols>
  <sheetData>
    <row r="1" spans="1:11" ht="18" customHeight="1" x14ac:dyDescent="0.3">
      <c r="A1" s="105"/>
      <c r="B1" s="105"/>
      <c r="C1" s="105"/>
      <c r="D1" s="105"/>
      <c r="E1" s="105"/>
      <c r="F1" s="105"/>
      <c r="G1" s="105"/>
      <c r="H1" s="105"/>
      <c r="I1" s="105"/>
      <c r="J1" s="105"/>
    </row>
    <row r="2" spans="1:11" x14ac:dyDescent="0.3">
      <c r="A2" s="106" t="s">
        <v>753</v>
      </c>
      <c r="B2" s="106"/>
      <c r="C2" s="106"/>
      <c r="D2" s="106"/>
      <c r="E2" s="106"/>
      <c r="F2" s="106"/>
      <c r="G2" s="106"/>
      <c r="H2" s="106"/>
      <c r="I2" s="106"/>
      <c r="J2" s="106"/>
    </row>
    <row r="3" spans="1:11" x14ac:dyDescent="0.3">
      <c r="A3" s="106"/>
      <c r="B3" s="106"/>
      <c r="C3" s="106"/>
      <c r="D3" s="106"/>
      <c r="E3" s="106"/>
      <c r="F3" s="106"/>
      <c r="G3" s="106"/>
      <c r="H3" s="106"/>
      <c r="I3" s="106"/>
      <c r="J3" s="106"/>
    </row>
    <row r="4" spans="1:11" x14ac:dyDescent="0.3">
      <c r="A4" s="106"/>
      <c r="B4" s="106"/>
      <c r="C4" s="106"/>
      <c r="D4" s="106"/>
      <c r="E4" s="106"/>
      <c r="F4" s="106"/>
      <c r="G4" s="106"/>
      <c r="H4" s="106"/>
      <c r="I4" s="106"/>
      <c r="J4" s="106"/>
    </row>
    <row r="5" spans="1:11" x14ac:dyDescent="0.3">
      <c r="A5" s="107"/>
      <c r="B5" s="107"/>
      <c r="C5" s="107"/>
      <c r="D5" s="107"/>
      <c r="E5" s="107"/>
      <c r="F5" s="107"/>
      <c r="G5" s="107"/>
      <c r="H5" s="107"/>
      <c r="I5" s="107"/>
      <c r="J5" s="107"/>
    </row>
    <row r="6" spans="1:11" ht="15.6" x14ac:dyDescent="0.25">
      <c r="A6" s="108" t="s">
        <v>11</v>
      </c>
      <c r="B6" s="108"/>
      <c r="C6" s="108"/>
      <c r="D6" s="108"/>
      <c r="E6" s="108"/>
      <c r="F6" s="108"/>
      <c r="G6" s="108"/>
      <c r="H6" s="108"/>
      <c r="I6" s="108"/>
      <c r="J6" s="108"/>
      <c r="K6" s="30"/>
    </row>
    <row r="7" spans="1:11" ht="15.6" x14ac:dyDescent="0.3">
      <c r="A7" s="32" t="s">
        <v>13</v>
      </c>
      <c r="B7" s="29" t="s">
        <v>14</v>
      </c>
      <c r="C7" s="109" t="s">
        <v>738</v>
      </c>
      <c r="D7" s="110"/>
      <c r="E7" s="110"/>
      <c r="F7" s="110"/>
      <c r="G7" s="110"/>
      <c r="H7" s="110"/>
      <c r="I7" s="55" t="s">
        <v>620</v>
      </c>
      <c r="J7" s="55" t="s">
        <v>621</v>
      </c>
    </row>
    <row r="8" spans="1:11" ht="60" customHeight="1" x14ac:dyDescent="0.3">
      <c r="A8" s="33">
        <v>1</v>
      </c>
      <c r="B8" s="34" t="s">
        <v>109</v>
      </c>
      <c r="C8" s="101" t="s">
        <v>110</v>
      </c>
      <c r="D8" s="102"/>
      <c r="E8" s="102"/>
      <c r="F8" s="102"/>
      <c r="G8" s="102"/>
      <c r="H8" s="103"/>
      <c r="I8" s="33"/>
      <c r="J8" s="35" t="b">
        <f>IF(I8="No cumple",0,IF(I8="No aplica",2,IF(I8="Cumple totalmente",2,IF(I8="Cumple parcialmente",1))))</f>
        <v>0</v>
      </c>
    </row>
    <row r="9" spans="1:11" ht="30.75" customHeight="1" x14ac:dyDescent="0.3">
      <c r="A9" s="33">
        <v>2</v>
      </c>
      <c r="B9" s="34" t="s">
        <v>111</v>
      </c>
      <c r="C9" s="101" t="s">
        <v>112</v>
      </c>
      <c r="D9" s="102"/>
      <c r="E9" s="102"/>
      <c r="F9" s="102"/>
      <c r="G9" s="102"/>
      <c r="H9" s="103"/>
      <c r="I9" s="33"/>
      <c r="J9" s="35" t="b">
        <f t="shared" ref="J9:J72" si="0">IF(I9="No cumple",0,IF(I9="No aplica",2,IF(I9="Cumple totalmente",2,IF(I9="Cumple parcialmente",1))))</f>
        <v>0</v>
      </c>
    </row>
    <row r="10" spans="1:11" ht="45.75" customHeight="1" x14ac:dyDescent="0.3">
      <c r="A10" s="33">
        <v>3</v>
      </c>
      <c r="B10" s="34" t="s">
        <v>113</v>
      </c>
      <c r="C10" s="98" t="s">
        <v>114</v>
      </c>
      <c r="D10" s="99"/>
      <c r="E10" s="99"/>
      <c r="F10" s="99"/>
      <c r="G10" s="99"/>
      <c r="H10" s="100"/>
      <c r="I10" s="33"/>
      <c r="J10" s="35" t="b">
        <f t="shared" si="0"/>
        <v>0</v>
      </c>
    </row>
    <row r="11" spans="1:11" ht="33.75" customHeight="1" x14ac:dyDescent="0.3">
      <c r="A11" s="33">
        <v>4</v>
      </c>
      <c r="B11" s="34" t="s">
        <v>115</v>
      </c>
      <c r="C11" s="98" t="s">
        <v>116</v>
      </c>
      <c r="D11" s="99"/>
      <c r="E11" s="99"/>
      <c r="F11" s="99"/>
      <c r="G11" s="99"/>
      <c r="H11" s="100"/>
      <c r="I11" s="33"/>
      <c r="J11" s="35" t="b">
        <f t="shared" si="0"/>
        <v>0</v>
      </c>
    </row>
    <row r="12" spans="1:11" ht="28.5" customHeight="1" x14ac:dyDescent="0.3">
      <c r="A12" s="33">
        <v>5</v>
      </c>
      <c r="B12" s="34" t="s">
        <v>117</v>
      </c>
      <c r="C12" s="98" t="s">
        <v>118</v>
      </c>
      <c r="D12" s="99"/>
      <c r="E12" s="99"/>
      <c r="F12" s="99"/>
      <c r="G12" s="99"/>
      <c r="H12" s="100"/>
      <c r="I12" s="33"/>
      <c r="J12" s="35" t="b">
        <f t="shared" si="0"/>
        <v>0</v>
      </c>
    </row>
    <row r="13" spans="1:11" ht="30.75" customHeight="1" x14ac:dyDescent="0.3">
      <c r="A13" s="33">
        <v>6</v>
      </c>
      <c r="B13" s="34" t="s">
        <v>119</v>
      </c>
      <c r="C13" s="98" t="s">
        <v>120</v>
      </c>
      <c r="D13" s="99"/>
      <c r="E13" s="99"/>
      <c r="F13" s="99"/>
      <c r="G13" s="99"/>
      <c r="H13" s="100"/>
      <c r="I13" s="33"/>
      <c r="J13" s="35" t="b">
        <f t="shared" si="0"/>
        <v>0</v>
      </c>
    </row>
    <row r="14" spans="1:11" ht="33.75" customHeight="1" x14ac:dyDescent="0.3">
      <c r="A14" s="33">
        <v>7</v>
      </c>
      <c r="B14" s="34" t="s">
        <v>121</v>
      </c>
      <c r="C14" s="98" t="s">
        <v>122</v>
      </c>
      <c r="D14" s="99"/>
      <c r="E14" s="99"/>
      <c r="F14" s="99"/>
      <c r="G14" s="99"/>
      <c r="H14" s="100"/>
      <c r="I14" s="33"/>
      <c r="J14" s="35" t="b">
        <f t="shared" si="0"/>
        <v>0</v>
      </c>
    </row>
    <row r="15" spans="1:11" ht="63" customHeight="1" x14ac:dyDescent="0.3">
      <c r="A15" s="33">
        <v>8</v>
      </c>
      <c r="B15" s="34" t="s">
        <v>121</v>
      </c>
      <c r="C15" s="98" t="s">
        <v>123</v>
      </c>
      <c r="D15" s="99"/>
      <c r="E15" s="99"/>
      <c r="F15" s="99"/>
      <c r="G15" s="99"/>
      <c r="H15" s="100"/>
      <c r="I15" s="33"/>
      <c r="J15" s="35" t="b">
        <f t="shared" si="0"/>
        <v>0</v>
      </c>
    </row>
    <row r="16" spans="1:11" ht="78.75" customHeight="1" x14ac:dyDescent="0.3">
      <c r="A16" s="33">
        <v>9</v>
      </c>
      <c r="B16" s="34" t="s">
        <v>124</v>
      </c>
      <c r="C16" s="98" t="s">
        <v>125</v>
      </c>
      <c r="D16" s="99"/>
      <c r="E16" s="99"/>
      <c r="F16" s="99"/>
      <c r="G16" s="99"/>
      <c r="H16" s="100"/>
      <c r="I16" s="33"/>
      <c r="J16" s="35" t="b">
        <f t="shared" si="0"/>
        <v>0</v>
      </c>
    </row>
    <row r="17" spans="1:10" ht="73.5" customHeight="1" x14ac:dyDescent="0.3">
      <c r="A17" s="33">
        <v>10</v>
      </c>
      <c r="B17" s="34" t="s">
        <v>126</v>
      </c>
      <c r="C17" s="98" t="s">
        <v>127</v>
      </c>
      <c r="D17" s="99"/>
      <c r="E17" s="99"/>
      <c r="F17" s="99"/>
      <c r="G17" s="99"/>
      <c r="H17" s="100"/>
      <c r="I17" s="33"/>
      <c r="J17" s="35" t="b">
        <f t="shared" si="0"/>
        <v>0</v>
      </c>
    </row>
    <row r="18" spans="1:10" ht="15.75" customHeight="1" x14ac:dyDescent="0.3">
      <c r="A18" s="32" t="s">
        <v>13</v>
      </c>
      <c r="B18" s="29" t="s">
        <v>14</v>
      </c>
      <c r="C18" s="109" t="s">
        <v>739</v>
      </c>
      <c r="D18" s="110"/>
      <c r="E18" s="110"/>
      <c r="F18" s="110"/>
      <c r="G18" s="110"/>
      <c r="H18" s="110"/>
      <c r="I18" s="55" t="s">
        <v>620</v>
      </c>
      <c r="J18" s="55" t="s">
        <v>621</v>
      </c>
    </row>
    <row r="19" spans="1:10" ht="62.25" customHeight="1" x14ac:dyDescent="0.3">
      <c r="A19" s="33">
        <v>1</v>
      </c>
      <c r="B19" s="34" t="s">
        <v>128</v>
      </c>
      <c r="C19" s="104" t="s">
        <v>129</v>
      </c>
      <c r="D19" s="104"/>
      <c r="E19" s="104"/>
      <c r="F19" s="104"/>
      <c r="G19" s="104"/>
      <c r="H19" s="104"/>
      <c r="I19" s="33"/>
      <c r="J19" s="35" t="b">
        <f t="shared" si="0"/>
        <v>0</v>
      </c>
    </row>
    <row r="20" spans="1:10" ht="50.25" customHeight="1" x14ac:dyDescent="0.3">
      <c r="A20" s="33">
        <v>2</v>
      </c>
      <c r="B20" s="34" t="s">
        <v>128</v>
      </c>
      <c r="C20" s="104" t="s">
        <v>130</v>
      </c>
      <c r="D20" s="104"/>
      <c r="E20" s="104"/>
      <c r="F20" s="104"/>
      <c r="G20" s="104"/>
      <c r="H20" s="104"/>
      <c r="I20" s="33"/>
      <c r="J20" s="35" t="b">
        <f t="shared" si="0"/>
        <v>0</v>
      </c>
    </row>
    <row r="21" spans="1:10" ht="30.75" customHeight="1" x14ac:dyDescent="0.3">
      <c r="A21" s="33">
        <v>3</v>
      </c>
      <c r="B21" s="34" t="s">
        <v>131</v>
      </c>
      <c r="C21" s="98" t="s">
        <v>132</v>
      </c>
      <c r="D21" s="99"/>
      <c r="E21" s="99"/>
      <c r="F21" s="99"/>
      <c r="G21" s="99"/>
      <c r="H21" s="100"/>
      <c r="I21" s="33"/>
      <c r="J21" s="35" t="b">
        <f t="shared" si="0"/>
        <v>0</v>
      </c>
    </row>
    <row r="22" spans="1:10" ht="48" customHeight="1" x14ac:dyDescent="0.3">
      <c r="A22" s="33">
        <v>4</v>
      </c>
      <c r="B22" s="34" t="s">
        <v>133</v>
      </c>
      <c r="C22" s="98" t="s">
        <v>134</v>
      </c>
      <c r="D22" s="99"/>
      <c r="E22" s="99"/>
      <c r="F22" s="99"/>
      <c r="G22" s="99"/>
      <c r="H22" s="100"/>
      <c r="I22" s="33"/>
      <c r="J22" s="35" t="b">
        <f t="shared" si="0"/>
        <v>0</v>
      </c>
    </row>
    <row r="23" spans="1:10" ht="35.25" customHeight="1" x14ac:dyDescent="0.3">
      <c r="A23" s="33">
        <v>5</v>
      </c>
      <c r="B23" s="34" t="s">
        <v>135</v>
      </c>
      <c r="C23" s="98" t="s">
        <v>136</v>
      </c>
      <c r="D23" s="99"/>
      <c r="E23" s="99"/>
      <c r="F23" s="99"/>
      <c r="G23" s="99"/>
      <c r="H23" s="100"/>
      <c r="I23" s="33"/>
      <c r="J23" s="35" t="b">
        <f t="shared" si="0"/>
        <v>0</v>
      </c>
    </row>
    <row r="24" spans="1:10" ht="65.25" customHeight="1" x14ac:dyDescent="0.3">
      <c r="A24" s="33">
        <v>6</v>
      </c>
      <c r="B24" s="34" t="s">
        <v>137</v>
      </c>
      <c r="C24" s="98" t="s">
        <v>138</v>
      </c>
      <c r="D24" s="99"/>
      <c r="E24" s="99"/>
      <c r="F24" s="99"/>
      <c r="G24" s="99"/>
      <c r="H24" s="100"/>
      <c r="I24" s="33"/>
      <c r="J24" s="35" t="b">
        <f t="shared" si="0"/>
        <v>0</v>
      </c>
    </row>
    <row r="25" spans="1:10" ht="35.25" customHeight="1" x14ac:dyDescent="0.3">
      <c r="A25" s="33">
        <v>7</v>
      </c>
      <c r="B25" s="34" t="s">
        <v>139</v>
      </c>
      <c r="C25" s="98" t="s">
        <v>140</v>
      </c>
      <c r="D25" s="99"/>
      <c r="E25" s="99"/>
      <c r="F25" s="99"/>
      <c r="G25" s="99"/>
      <c r="H25" s="100"/>
      <c r="I25" s="33"/>
      <c r="J25" s="35" t="b">
        <f t="shared" si="0"/>
        <v>0</v>
      </c>
    </row>
    <row r="26" spans="1:10" ht="47.25" customHeight="1" x14ac:dyDescent="0.3">
      <c r="A26" s="33">
        <v>8</v>
      </c>
      <c r="B26" s="34" t="s">
        <v>141</v>
      </c>
      <c r="C26" s="98" t="s">
        <v>142</v>
      </c>
      <c r="D26" s="99"/>
      <c r="E26" s="99"/>
      <c r="F26" s="99"/>
      <c r="G26" s="99"/>
      <c r="H26" s="100"/>
      <c r="I26" s="33"/>
      <c r="J26" s="35" t="b">
        <f t="shared" si="0"/>
        <v>0</v>
      </c>
    </row>
    <row r="27" spans="1:10" ht="29.25" customHeight="1" x14ac:dyDescent="0.3">
      <c r="A27" s="33">
        <v>9</v>
      </c>
      <c r="B27" s="34" t="s">
        <v>143</v>
      </c>
      <c r="C27" s="98" t="s">
        <v>144</v>
      </c>
      <c r="D27" s="99"/>
      <c r="E27" s="99"/>
      <c r="F27" s="99"/>
      <c r="G27" s="99"/>
      <c r="H27" s="100"/>
      <c r="I27" s="33"/>
      <c r="J27" s="35" t="b">
        <f t="shared" si="0"/>
        <v>0</v>
      </c>
    </row>
    <row r="28" spans="1:10" ht="33" customHeight="1" x14ac:dyDescent="0.3">
      <c r="A28" s="33">
        <v>10</v>
      </c>
      <c r="B28" s="34" t="s">
        <v>145</v>
      </c>
      <c r="C28" s="98" t="s">
        <v>146</v>
      </c>
      <c r="D28" s="99"/>
      <c r="E28" s="99"/>
      <c r="F28" s="99"/>
      <c r="G28" s="99"/>
      <c r="H28" s="100"/>
      <c r="I28" s="33"/>
      <c r="J28" s="35" t="b">
        <f t="shared" si="0"/>
        <v>0</v>
      </c>
    </row>
    <row r="29" spans="1:10" ht="49.5" customHeight="1" x14ac:dyDescent="0.3">
      <c r="A29" s="33">
        <v>11</v>
      </c>
      <c r="B29" s="34" t="s">
        <v>147</v>
      </c>
      <c r="C29" s="98" t="s">
        <v>148</v>
      </c>
      <c r="D29" s="99"/>
      <c r="E29" s="99"/>
      <c r="F29" s="99"/>
      <c r="G29" s="99"/>
      <c r="H29" s="100"/>
      <c r="I29" s="33"/>
      <c r="J29" s="35" t="b">
        <f t="shared" si="0"/>
        <v>0</v>
      </c>
    </row>
    <row r="30" spans="1:10" ht="37.5" customHeight="1" x14ac:dyDescent="0.3">
      <c r="A30" s="33">
        <v>12</v>
      </c>
      <c r="B30" s="33" t="s">
        <v>149</v>
      </c>
      <c r="C30" s="98" t="s">
        <v>150</v>
      </c>
      <c r="D30" s="99"/>
      <c r="E30" s="99"/>
      <c r="F30" s="99"/>
      <c r="G30" s="99"/>
      <c r="H30" s="100"/>
      <c r="I30" s="33"/>
      <c r="J30" s="35" t="b">
        <f t="shared" si="0"/>
        <v>0</v>
      </c>
    </row>
    <row r="31" spans="1:10" ht="73.5" customHeight="1" x14ac:dyDescent="0.3">
      <c r="A31" s="33">
        <v>13</v>
      </c>
      <c r="B31" s="33" t="s">
        <v>151</v>
      </c>
      <c r="C31" s="98" t="s">
        <v>152</v>
      </c>
      <c r="D31" s="99"/>
      <c r="E31" s="99"/>
      <c r="F31" s="99"/>
      <c r="G31" s="99"/>
      <c r="H31" s="100"/>
      <c r="I31" s="33"/>
      <c r="J31" s="35" t="b">
        <f t="shared" si="0"/>
        <v>0</v>
      </c>
    </row>
    <row r="32" spans="1:10" ht="64.5" customHeight="1" x14ac:dyDescent="0.3">
      <c r="A32" s="33">
        <v>14</v>
      </c>
      <c r="B32" s="33" t="s">
        <v>153</v>
      </c>
      <c r="C32" s="98" t="s">
        <v>154</v>
      </c>
      <c r="D32" s="99"/>
      <c r="E32" s="99"/>
      <c r="F32" s="99"/>
      <c r="G32" s="99"/>
      <c r="H32" s="100"/>
      <c r="I32" s="33"/>
      <c r="J32" s="35" t="b">
        <f t="shared" si="0"/>
        <v>0</v>
      </c>
    </row>
    <row r="33" spans="1:10" ht="36" customHeight="1" x14ac:dyDescent="0.3">
      <c r="A33" s="33">
        <v>15</v>
      </c>
      <c r="B33" s="33" t="s">
        <v>149</v>
      </c>
      <c r="C33" s="98" t="s">
        <v>155</v>
      </c>
      <c r="D33" s="99"/>
      <c r="E33" s="99"/>
      <c r="F33" s="99"/>
      <c r="G33" s="99"/>
      <c r="H33" s="100"/>
      <c r="I33" s="33"/>
      <c r="J33" s="35" t="b">
        <f t="shared" si="0"/>
        <v>0</v>
      </c>
    </row>
    <row r="34" spans="1:10" ht="39" customHeight="1" x14ac:dyDescent="0.3">
      <c r="A34" s="33">
        <v>16</v>
      </c>
      <c r="B34" s="33" t="s">
        <v>156</v>
      </c>
      <c r="C34" s="98" t="s">
        <v>157</v>
      </c>
      <c r="D34" s="99"/>
      <c r="E34" s="99"/>
      <c r="F34" s="99"/>
      <c r="G34" s="99"/>
      <c r="H34" s="100"/>
      <c r="I34" s="33"/>
      <c r="J34" s="35" t="b">
        <f t="shared" si="0"/>
        <v>0</v>
      </c>
    </row>
    <row r="35" spans="1:10" ht="44.25" customHeight="1" x14ac:dyDescent="0.3">
      <c r="A35" s="33">
        <v>17</v>
      </c>
      <c r="B35" s="33" t="s">
        <v>158</v>
      </c>
      <c r="C35" s="98" t="s">
        <v>159</v>
      </c>
      <c r="D35" s="99"/>
      <c r="E35" s="99"/>
      <c r="F35" s="99"/>
      <c r="G35" s="99"/>
      <c r="H35" s="100"/>
      <c r="I35" s="33"/>
      <c r="J35" s="35" t="b">
        <f t="shared" si="0"/>
        <v>0</v>
      </c>
    </row>
    <row r="36" spans="1:10" ht="18.75" customHeight="1" x14ac:dyDescent="0.3">
      <c r="A36" s="33">
        <v>18</v>
      </c>
      <c r="B36" s="33" t="s">
        <v>160</v>
      </c>
      <c r="C36" s="98" t="s">
        <v>161</v>
      </c>
      <c r="D36" s="99"/>
      <c r="E36" s="99"/>
      <c r="F36" s="99"/>
      <c r="G36" s="99"/>
      <c r="H36" s="100"/>
      <c r="I36" s="33"/>
      <c r="J36" s="35" t="b">
        <f t="shared" si="0"/>
        <v>0</v>
      </c>
    </row>
    <row r="37" spans="1:10" ht="75.75" customHeight="1" x14ac:dyDescent="0.3">
      <c r="A37" s="33">
        <v>19</v>
      </c>
      <c r="B37" s="33" t="s">
        <v>162</v>
      </c>
      <c r="C37" s="98" t="s">
        <v>163</v>
      </c>
      <c r="D37" s="99"/>
      <c r="E37" s="99"/>
      <c r="F37" s="99"/>
      <c r="G37" s="99"/>
      <c r="H37" s="100"/>
      <c r="I37" s="33"/>
      <c r="J37" s="35" t="b">
        <f t="shared" si="0"/>
        <v>0</v>
      </c>
    </row>
    <row r="38" spans="1:10" ht="63.75" customHeight="1" x14ac:dyDescent="0.3">
      <c r="A38" s="33">
        <v>20</v>
      </c>
      <c r="B38" s="33" t="s">
        <v>164</v>
      </c>
      <c r="C38" s="98" t="s">
        <v>165</v>
      </c>
      <c r="D38" s="99"/>
      <c r="E38" s="99"/>
      <c r="F38" s="99"/>
      <c r="G38" s="99"/>
      <c r="H38" s="100"/>
      <c r="I38" s="33"/>
      <c r="J38" s="35" t="b">
        <f t="shared" si="0"/>
        <v>0</v>
      </c>
    </row>
    <row r="39" spans="1:10" ht="31.5" customHeight="1" x14ac:dyDescent="0.3">
      <c r="A39" s="33">
        <v>21</v>
      </c>
      <c r="B39" s="33" t="s">
        <v>166</v>
      </c>
      <c r="C39" s="98" t="s">
        <v>167</v>
      </c>
      <c r="D39" s="99"/>
      <c r="E39" s="99"/>
      <c r="F39" s="99"/>
      <c r="G39" s="99"/>
      <c r="H39" s="100"/>
      <c r="I39" s="33"/>
      <c r="J39" s="35" t="b">
        <f t="shared" si="0"/>
        <v>0</v>
      </c>
    </row>
    <row r="40" spans="1:10" ht="18" customHeight="1" x14ac:dyDescent="0.3">
      <c r="A40" s="33">
        <v>22</v>
      </c>
      <c r="B40" s="33" t="s">
        <v>168</v>
      </c>
      <c r="C40" s="98" t="s">
        <v>169</v>
      </c>
      <c r="D40" s="99"/>
      <c r="E40" s="99"/>
      <c r="F40" s="99"/>
      <c r="G40" s="99"/>
      <c r="H40" s="100"/>
      <c r="I40" s="33"/>
      <c r="J40" s="35" t="b">
        <f t="shared" si="0"/>
        <v>0</v>
      </c>
    </row>
    <row r="41" spans="1:10" ht="15.75" customHeight="1" x14ac:dyDescent="0.3">
      <c r="A41" s="33">
        <v>23</v>
      </c>
      <c r="B41" s="33" t="s">
        <v>170</v>
      </c>
      <c r="C41" s="98" t="s">
        <v>171</v>
      </c>
      <c r="D41" s="99"/>
      <c r="E41" s="99"/>
      <c r="F41" s="99"/>
      <c r="G41" s="99"/>
      <c r="H41" s="100"/>
      <c r="I41" s="33"/>
      <c r="J41" s="35" t="b">
        <f t="shared" si="0"/>
        <v>0</v>
      </c>
    </row>
    <row r="42" spans="1:10" ht="19.5" customHeight="1" x14ac:dyDescent="0.3">
      <c r="A42" s="33">
        <v>24</v>
      </c>
      <c r="B42" s="33" t="s">
        <v>172</v>
      </c>
      <c r="C42" s="98" t="s">
        <v>173</v>
      </c>
      <c r="D42" s="99"/>
      <c r="E42" s="99"/>
      <c r="F42" s="99"/>
      <c r="G42" s="99"/>
      <c r="H42" s="100"/>
      <c r="I42" s="33"/>
      <c r="J42" s="35" t="b">
        <f t="shared" si="0"/>
        <v>0</v>
      </c>
    </row>
    <row r="43" spans="1:10" ht="44.25" customHeight="1" x14ac:dyDescent="0.3">
      <c r="A43" s="33">
        <v>25</v>
      </c>
      <c r="B43" s="33" t="s">
        <v>174</v>
      </c>
      <c r="C43" s="98" t="s">
        <v>175</v>
      </c>
      <c r="D43" s="99"/>
      <c r="E43" s="99"/>
      <c r="F43" s="99"/>
      <c r="G43" s="99"/>
      <c r="H43" s="100"/>
      <c r="I43" s="33"/>
      <c r="J43" s="35" t="b">
        <f t="shared" si="0"/>
        <v>0</v>
      </c>
    </row>
    <row r="44" spans="1:10" ht="32.25" customHeight="1" x14ac:dyDescent="0.3">
      <c r="A44" s="33">
        <v>26</v>
      </c>
      <c r="B44" s="33" t="s">
        <v>176</v>
      </c>
      <c r="C44" s="98" t="s">
        <v>177</v>
      </c>
      <c r="D44" s="99"/>
      <c r="E44" s="99"/>
      <c r="F44" s="99"/>
      <c r="G44" s="99"/>
      <c r="H44" s="100"/>
      <c r="I44" s="33"/>
      <c r="J44" s="35" t="b">
        <f t="shared" si="0"/>
        <v>0</v>
      </c>
    </row>
    <row r="45" spans="1:10" ht="35.25" customHeight="1" x14ac:dyDescent="0.3">
      <c r="A45" s="33">
        <v>27</v>
      </c>
      <c r="B45" s="33" t="s">
        <v>178</v>
      </c>
      <c r="C45" s="98" t="s">
        <v>179</v>
      </c>
      <c r="D45" s="99"/>
      <c r="E45" s="99"/>
      <c r="F45" s="99"/>
      <c r="G45" s="99"/>
      <c r="H45" s="100"/>
      <c r="I45" s="33"/>
      <c r="J45" s="35" t="b">
        <f t="shared" si="0"/>
        <v>0</v>
      </c>
    </row>
    <row r="46" spans="1:10" ht="30" customHeight="1" x14ac:dyDescent="0.3">
      <c r="A46" s="33">
        <v>28</v>
      </c>
      <c r="B46" s="33" t="s">
        <v>180</v>
      </c>
      <c r="C46" s="98" t="s">
        <v>181</v>
      </c>
      <c r="D46" s="99"/>
      <c r="E46" s="99"/>
      <c r="F46" s="99"/>
      <c r="G46" s="99"/>
      <c r="H46" s="100"/>
      <c r="I46" s="33"/>
      <c r="J46" s="35" t="b">
        <f t="shared" si="0"/>
        <v>0</v>
      </c>
    </row>
    <row r="47" spans="1:10" ht="45" customHeight="1" x14ac:dyDescent="0.3">
      <c r="A47" s="33">
        <v>29</v>
      </c>
      <c r="B47" s="33" t="s">
        <v>182</v>
      </c>
      <c r="C47" s="98" t="s">
        <v>183</v>
      </c>
      <c r="D47" s="99"/>
      <c r="E47" s="99"/>
      <c r="F47" s="99"/>
      <c r="G47" s="99"/>
      <c r="H47" s="100"/>
      <c r="I47" s="33"/>
      <c r="J47" s="35" t="b">
        <f t="shared" si="0"/>
        <v>0</v>
      </c>
    </row>
    <row r="48" spans="1:10" ht="58.5" customHeight="1" x14ac:dyDescent="0.3">
      <c r="A48" s="33">
        <v>30</v>
      </c>
      <c r="B48" s="33" t="s">
        <v>184</v>
      </c>
      <c r="C48" s="98" t="s">
        <v>185</v>
      </c>
      <c r="D48" s="99"/>
      <c r="E48" s="99"/>
      <c r="F48" s="99"/>
      <c r="G48" s="99"/>
      <c r="H48" s="100"/>
      <c r="I48" s="33"/>
      <c r="J48" s="35" t="b">
        <f t="shared" si="0"/>
        <v>0</v>
      </c>
    </row>
    <row r="49" spans="1:10" ht="15.75" customHeight="1" x14ac:dyDescent="0.3">
      <c r="A49" s="33">
        <v>31</v>
      </c>
      <c r="B49" s="33" t="s">
        <v>186</v>
      </c>
      <c r="C49" s="98" t="s">
        <v>187</v>
      </c>
      <c r="D49" s="99"/>
      <c r="E49" s="99"/>
      <c r="F49" s="99"/>
      <c r="G49" s="99"/>
      <c r="H49" s="100"/>
      <c r="I49" s="33"/>
      <c r="J49" s="35" t="b">
        <f t="shared" si="0"/>
        <v>0</v>
      </c>
    </row>
    <row r="50" spans="1:10" ht="43.5" customHeight="1" x14ac:dyDescent="0.3">
      <c r="A50" s="33">
        <v>32</v>
      </c>
      <c r="B50" s="33" t="s">
        <v>188</v>
      </c>
      <c r="C50" s="98" t="s">
        <v>189</v>
      </c>
      <c r="D50" s="99"/>
      <c r="E50" s="99"/>
      <c r="F50" s="99"/>
      <c r="G50" s="99"/>
      <c r="H50" s="100"/>
      <c r="I50" s="33"/>
      <c r="J50" s="35" t="b">
        <f t="shared" si="0"/>
        <v>0</v>
      </c>
    </row>
    <row r="51" spans="1:10" ht="48.75" customHeight="1" x14ac:dyDescent="0.3">
      <c r="A51" s="33">
        <v>33</v>
      </c>
      <c r="B51" s="33" t="s">
        <v>190</v>
      </c>
      <c r="C51" s="98" t="s">
        <v>191</v>
      </c>
      <c r="D51" s="99"/>
      <c r="E51" s="99"/>
      <c r="F51" s="99"/>
      <c r="G51" s="99"/>
      <c r="H51" s="100"/>
      <c r="I51" s="33"/>
      <c r="J51" s="35" t="b">
        <f t="shared" si="0"/>
        <v>0</v>
      </c>
    </row>
    <row r="52" spans="1:10" ht="33.75" customHeight="1" x14ac:dyDescent="0.3">
      <c r="A52" s="33">
        <v>34</v>
      </c>
      <c r="B52" s="33" t="s">
        <v>192</v>
      </c>
      <c r="C52" s="98" t="s">
        <v>193</v>
      </c>
      <c r="D52" s="99"/>
      <c r="E52" s="99"/>
      <c r="F52" s="99"/>
      <c r="G52" s="99"/>
      <c r="H52" s="100"/>
      <c r="I52" s="33"/>
      <c r="J52" s="35" t="b">
        <f t="shared" si="0"/>
        <v>0</v>
      </c>
    </row>
    <row r="53" spans="1:10" ht="20.25" customHeight="1" x14ac:dyDescent="0.3">
      <c r="A53" s="33">
        <v>35</v>
      </c>
      <c r="B53" s="33" t="s">
        <v>194</v>
      </c>
      <c r="C53" s="98" t="s">
        <v>195</v>
      </c>
      <c r="D53" s="99"/>
      <c r="E53" s="99"/>
      <c r="F53" s="99"/>
      <c r="G53" s="99"/>
      <c r="H53" s="100"/>
      <c r="I53" s="33"/>
      <c r="J53" s="35" t="b">
        <f t="shared" si="0"/>
        <v>0</v>
      </c>
    </row>
    <row r="54" spans="1:10" ht="31.5" customHeight="1" x14ac:dyDescent="0.3">
      <c r="A54" s="33">
        <v>36</v>
      </c>
      <c r="B54" s="33" t="s">
        <v>196</v>
      </c>
      <c r="C54" s="98" t="s">
        <v>197</v>
      </c>
      <c r="D54" s="99"/>
      <c r="E54" s="99"/>
      <c r="F54" s="99"/>
      <c r="G54" s="99"/>
      <c r="H54" s="100"/>
      <c r="I54" s="33"/>
      <c r="J54" s="35" t="b">
        <f t="shared" si="0"/>
        <v>0</v>
      </c>
    </row>
    <row r="55" spans="1:10" ht="47.25" customHeight="1" x14ac:dyDescent="0.3">
      <c r="A55" s="33">
        <v>37</v>
      </c>
      <c r="B55" s="33" t="s">
        <v>198</v>
      </c>
      <c r="C55" s="98" t="s">
        <v>199</v>
      </c>
      <c r="D55" s="99"/>
      <c r="E55" s="99"/>
      <c r="F55" s="99"/>
      <c r="G55" s="99"/>
      <c r="H55" s="100"/>
      <c r="I55" s="33"/>
      <c r="J55" s="35" t="b">
        <f t="shared" si="0"/>
        <v>0</v>
      </c>
    </row>
    <row r="56" spans="1:10" ht="64.5" customHeight="1" x14ac:dyDescent="0.3">
      <c r="A56" s="33">
        <v>38</v>
      </c>
      <c r="B56" s="33" t="s">
        <v>200</v>
      </c>
      <c r="C56" s="98" t="s">
        <v>201</v>
      </c>
      <c r="D56" s="99"/>
      <c r="E56" s="99"/>
      <c r="F56" s="99"/>
      <c r="G56" s="99"/>
      <c r="H56" s="100"/>
      <c r="I56" s="33"/>
      <c r="J56" s="35" t="b">
        <f t="shared" si="0"/>
        <v>0</v>
      </c>
    </row>
    <row r="57" spans="1:10" ht="44.25" customHeight="1" x14ac:dyDescent="0.3">
      <c r="A57" s="33">
        <v>39</v>
      </c>
      <c r="B57" s="33" t="s">
        <v>202</v>
      </c>
      <c r="C57" s="98" t="s">
        <v>203</v>
      </c>
      <c r="D57" s="99"/>
      <c r="E57" s="99"/>
      <c r="F57" s="99"/>
      <c r="G57" s="99"/>
      <c r="H57" s="100"/>
      <c r="I57" s="33"/>
      <c r="J57" s="35" t="b">
        <f t="shared" si="0"/>
        <v>0</v>
      </c>
    </row>
    <row r="58" spans="1:10" ht="32.25" customHeight="1" x14ac:dyDescent="0.3">
      <c r="A58" s="33">
        <v>40</v>
      </c>
      <c r="B58" s="33" t="s">
        <v>204</v>
      </c>
      <c r="C58" s="98" t="s">
        <v>205</v>
      </c>
      <c r="D58" s="99"/>
      <c r="E58" s="99"/>
      <c r="F58" s="99"/>
      <c r="G58" s="99"/>
      <c r="H58" s="100"/>
      <c r="I58" s="33"/>
      <c r="J58" s="35" t="b">
        <f t="shared" si="0"/>
        <v>0</v>
      </c>
    </row>
    <row r="59" spans="1:10" ht="18.75" customHeight="1" x14ac:dyDescent="0.3">
      <c r="A59" s="33">
        <v>41</v>
      </c>
      <c r="B59" s="33" t="s">
        <v>206</v>
      </c>
      <c r="C59" s="98" t="s">
        <v>207</v>
      </c>
      <c r="D59" s="99"/>
      <c r="E59" s="99"/>
      <c r="F59" s="99"/>
      <c r="G59" s="99"/>
      <c r="H59" s="100"/>
      <c r="I59" s="33"/>
      <c r="J59" s="35" t="b">
        <f t="shared" si="0"/>
        <v>0</v>
      </c>
    </row>
    <row r="60" spans="1:10" ht="33" customHeight="1" x14ac:dyDescent="0.3">
      <c r="A60" s="33">
        <v>42</v>
      </c>
      <c r="B60" s="33" t="s">
        <v>208</v>
      </c>
      <c r="C60" s="98" t="s">
        <v>209</v>
      </c>
      <c r="D60" s="99"/>
      <c r="E60" s="99"/>
      <c r="F60" s="99"/>
      <c r="G60" s="99"/>
      <c r="H60" s="100"/>
      <c r="I60" s="33"/>
      <c r="J60" s="35" t="b">
        <f t="shared" si="0"/>
        <v>0</v>
      </c>
    </row>
    <row r="61" spans="1:10" ht="60.75" customHeight="1" x14ac:dyDescent="0.3">
      <c r="A61" s="33">
        <v>43</v>
      </c>
      <c r="B61" s="33" t="s">
        <v>210</v>
      </c>
      <c r="C61" s="98" t="s">
        <v>211</v>
      </c>
      <c r="D61" s="99"/>
      <c r="E61" s="99"/>
      <c r="F61" s="99"/>
      <c r="G61" s="99"/>
      <c r="H61" s="100"/>
      <c r="I61" s="33"/>
      <c r="J61" s="35" t="b">
        <f t="shared" si="0"/>
        <v>0</v>
      </c>
    </row>
    <row r="62" spans="1:10" ht="30" customHeight="1" x14ac:dyDescent="0.3">
      <c r="A62" s="33">
        <v>44</v>
      </c>
      <c r="B62" s="33" t="s">
        <v>212</v>
      </c>
      <c r="C62" s="98" t="s">
        <v>213</v>
      </c>
      <c r="D62" s="99"/>
      <c r="E62" s="99"/>
      <c r="F62" s="99"/>
      <c r="G62" s="99"/>
      <c r="H62" s="100"/>
      <c r="I62" s="33"/>
      <c r="J62" s="35" t="b">
        <f t="shared" si="0"/>
        <v>0</v>
      </c>
    </row>
    <row r="63" spans="1:10" ht="30" customHeight="1" x14ac:dyDescent="0.3">
      <c r="A63" s="33">
        <v>45</v>
      </c>
      <c r="B63" s="33" t="s">
        <v>214</v>
      </c>
      <c r="C63" s="98" t="s">
        <v>215</v>
      </c>
      <c r="D63" s="99"/>
      <c r="E63" s="99"/>
      <c r="F63" s="99"/>
      <c r="G63" s="99"/>
      <c r="H63" s="100"/>
      <c r="I63" s="33"/>
      <c r="J63" s="35" t="b">
        <f t="shared" si="0"/>
        <v>0</v>
      </c>
    </row>
    <row r="64" spans="1:10" ht="61.5" customHeight="1" x14ac:dyDescent="0.3">
      <c r="A64" s="33">
        <v>46</v>
      </c>
      <c r="B64" s="33" t="s">
        <v>216</v>
      </c>
      <c r="C64" s="98" t="s">
        <v>217</v>
      </c>
      <c r="D64" s="99"/>
      <c r="E64" s="99"/>
      <c r="F64" s="99"/>
      <c r="G64" s="99"/>
      <c r="H64" s="100"/>
      <c r="I64" s="33"/>
      <c r="J64" s="35" t="b">
        <f t="shared" si="0"/>
        <v>0</v>
      </c>
    </row>
    <row r="65" spans="1:10" ht="33" customHeight="1" x14ac:dyDescent="0.3">
      <c r="A65" s="33">
        <v>47</v>
      </c>
      <c r="B65" s="33" t="s">
        <v>218</v>
      </c>
      <c r="C65" s="98" t="s">
        <v>219</v>
      </c>
      <c r="D65" s="99"/>
      <c r="E65" s="99"/>
      <c r="F65" s="99"/>
      <c r="G65" s="99"/>
      <c r="H65" s="100"/>
      <c r="I65" s="33"/>
      <c r="J65" s="35" t="b">
        <f t="shared" si="0"/>
        <v>0</v>
      </c>
    </row>
    <row r="66" spans="1:10" ht="33" customHeight="1" x14ac:dyDescent="0.3">
      <c r="A66" s="33">
        <v>48</v>
      </c>
      <c r="B66" s="33" t="s">
        <v>220</v>
      </c>
      <c r="C66" s="98" t="s">
        <v>221</v>
      </c>
      <c r="D66" s="99"/>
      <c r="E66" s="99"/>
      <c r="F66" s="99"/>
      <c r="G66" s="99"/>
      <c r="H66" s="100"/>
      <c r="I66" s="33"/>
      <c r="J66" s="35" t="b">
        <f t="shared" si="0"/>
        <v>0</v>
      </c>
    </row>
    <row r="67" spans="1:10" ht="45.75" customHeight="1" x14ac:dyDescent="0.3">
      <c r="A67" s="33">
        <v>49</v>
      </c>
      <c r="B67" s="33" t="s">
        <v>222</v>
      </c>
      <c r="C67" s="98" t="s">
        <v>223</v>
      </c>
      <c r="D67" s="99"/>
      <c r="E67" s="99"/>
      <c r="F67" s="99"/>
      <c r="G67" s="99"/>
      <c r="H67" s="100"/>
      <c r="I67" s="33"/>
      <c r="J67" s="35" t="b">
        <f t="shared" si="0"/>
        <v>0</v>
      </c>
    </row>
    <row r="68" spans="1:10" ht="33" customHeight="1" x14ac:dyDescent="0.3">
      <c r="A68" s="33">
        <v>50</v>
      </c>
      <c r="B68" s="33" t="s">
        <v>224</v>
      </c>
      <c r="C68" s="98" t="s">
        <v>225</v>
      </c>
      <c r="D68" s="99"/>
      <c r="E68" s="99"/>
      <c r="F68" s="99"/>
      <c r="G68" s="99"/>
      <c r="H68" s="100"/>
      <c r="I68" s="33"/>
      <c r="J68" s="35" t="b">
        <f t="shared" si="0"/>
        <v>0</v>
      </c>
    </row>
    <row r="69" spans="1:10" ht="63" customHeight="1" x14ac:dyDescent="0.3">
      <c r="A69" s="33">
        <v>51</v>
      </c>
      <c r="B69" s="33" t="s">
        <v>226</v>
      </c>
      <c r="C69" s="98" t="s">
        <v>227</v>
      </c>
      <c r="D69" s="99"/>
      <c r="E69" s="99"/>
      <c r="F69" s="99"/>
      <c r="G69" s="99"/>
      <c r="H69" s="100"/>
      <c r="I69" s="33"/>
      <c r="J69" s="35" t="b">
        <f t="shared" si="0"/>
        <v>0</v>
      </c>
    </row>
    <row r="70" spans="1:10" ht="48.75" customHeight="1" x14ac:dyDescent="0.3">
      <c r="A70" s="33">
        <v>52</v>
      </c>
      <c r="B70" s="33" t="s">
        <v>228</v>
      </c>
      <c r="C70" s="98" t="s">
        <v>229</v>
      </c>
      <c r="D70" s="99"/>
      <c r="E70" s="99"/>
      <c r="F70" s="99"/>
      <c r="G70" s="99"/>
      <c r="H70" s="100"/>
      <c r="I70" s="33"/>
      <c r="J70" s="35" t="b">
        <f t="shared" si="0"/>
        <v>0</v>
      </c>
    </row>
    <row r="71" spans="1:10" ht="31.5" customHeight="1" x14ac:dyDescent="0.3">
      <c r="A71" s="33">
        <v>53</v>
      </c>
      <c r="B71" s="33" t="s">
        <v>230</v>
      </c>
      <c r="C71" s="98" t="s">
        <v>231</v>
      </c>
      <c r="D71" s="99"/>
      <c r="E71" s="99"/>
      <c r="F71" s="99"/>
      <c r="G71" s="99"/>
      <c r="H71" s="100"/>
      <c r="I71" s="33"/>
      <c r="J71" s="35" t="b">
        <f t="shared" si="0"/>
        <v>0</v>
      </c>
    </row>
    <row r="72" spans="1:10" ht="30.75" customHeight="1" x14ac:dyDescent="0.3">
      <c r="A72" s="33">
        <v>54</v>
      </c>
      <c r="B72" s="33" t="s">
        <v>232</v>
      </c>
      <c r="C72" s="98" t="s">
        <v>233</v>
      </c>
      <c r="D72" s="99"/>
      <c r="E72" s="99"/>
      <c r="F72" s="99"/>
      <c r="G72" s="99"/>
      <c r="H72" s="100"/>
      <c r="I72" s="33"/>
      <c r="J72" s="35" t="b">
        <f t="shared" si="0"/>
        <v>0</v>
      </c>
    </row>
    <row r="73" spans="1:10" ht="30.75" customHeight="1" x14ac:dyDescent="0.3">
      <c r="A73" s="33">
        <v>55</v>
      </c>
      <c r="B73" s="33" t="s">
        <v>234</v>
      </c>
      <c r="C73" s="98" t="s">
        <v>235</v>
      </c>
      <c r="D73" s="99"/>
      <c r="E73" s="99"/>
      <c r="F73" s="99"/>
      <c r="G73" s="99"/>
      <c r="H73" s="100"/>
      <c r="I73" s="33"/>
      <c r="J73" s="35" t="b">
        <f t="shared" ref="J73:J118" si="1">IF(I73="No cumple",0,IF(I73="No aplica",2,IF(I73="Cumple totalmente",2,IF(I73="Cumple parcialmente",1))))</f>
        <v>0</v>
      </c>
    </row>
    <row r="74" spans="1:10" ht="31.5" customHeight="1" x14ac:dyDescent="0.3">
      <c r="A74" s="33">
        <v>56</v>
      </c>
      <c r="B74" s="33" t="s">
        <v>236</v>
      </c>
      <c r="C74" s="98" t="s">
        <v>237</v>
      </c>
      <c r="D74" s="99"/>
      <c r="E74" s="99"/>
      <c r="F74" s="99"/>
      <c r="G74" s="99"/>
      <c r="H74" s="100"/>
      <c r="I74" s="33"/>
      <c r="J74" s="35" t="b">
        <f t="shared" si="1"/>
        <v>0</v>
      </c>
    </row>
    <row r="75" spans="1:10" ht="32.25" customHeight="1" x14ac:dyDescent="0.3">
      <c r="A75" s="33">
        <v>57</v>
      </c>
      <c r="B75" s="33" t="s">
        <v>238</v>
      </c>
      <c r="C75" s="98" t="s">
        <v>239</v>
      </c>
      <c r="D75" s="99"/>
      <c r="E75" s="99"/>
      <c r="F75" s="99"/>
      <c r="G75" s="99"/>
      <c r="H75" s="100"/>
      <c r="I75" s="33"/>
      <c r="J75" s="35" t="b">
        <f t="shared" si="1"/>
        <v>0</v>
      </c>
    </row>
    <row r="76" spans="1:10" ht="36" customHeight="1" x14ac:dyDescent="0.3">
      <c r="A76" s="33">
        <v>58</v>
      </c>
      <c r="B76" s="33" t="s">
        <v>240</v>
      </c>
      <c r="C76" s="98" t="s">
        <v>241</v>
      </c>
      <c r="D76" s="99"/>
      <c r="E76" s="99"/>
      <c r="F76" s="99"/>
      <c r="G76" s="99"/>
      <c r="H76" s="100"/>
      <c r="I76" s="33"/>
      <c r="J76" s="35" t="b">
        <f t="shared" si="1"/>
        <v>0</v>
      </c>
    </row>
    <row r="77" spans="1:10" ht="30.75" customHeight="1" x14ac:dyDescent="0.3">
      <c r="A77" s="33">
        <v>59</v>
      </c>
      <c r="B77" s="33" t="s">
        <v>242</v>
      </c>
      <c r="C77" s="98" t="s">
        <v>243</v>
      </c>
      <c r="D77" s="99"/>
      <c r="E77" s="99"/>
      <c r="F77" s="99"/>
      <c r="G77" s="99"/>
      <c r="H77" s="100"/>
      <c r="I77" s="33"/>
      <c r="J77" s="35" t="b">
        <f t="shared" si="1"/>
        <v>0</v>
      </c>
    </row>
    <row r="78" spans="1:10" ht="18.75" customHeight="1" x14ac:dyDescent="0.3">
      <c r="A78" s="33">
        <v>60</v>
      </c>
      <c r="B78" s="33" t="s">
        <v>244</v>
      </c>
      <c r="C78" s="98" t="s">
        <v>245</v>
      </c>
      <c r="D78" s="99"/>
      <c r="E78" s="99"/>
      <c r="F78" s="99"/>
      <c r="G78" s="99"/>
      <c r="H78" s="100"/>
      <c r="I78" s="33"/>
      <c r="J78" s="35" t="b">
        <f t="shared" si="1"/>
        <v>0</v>
      </c>
    </row>
    <row r="79" spans="1:10" ht="44.25" customHeight="1" x14ac:dyDescent="0.3">
      <c r="A79" s="33">
        <v>61</v>
      </c>
      <c r="B79" s="33" t="s">
        <v>246</v>
      </c>
      <c r="C79" s="98" t="s">
        <v>247</v>
      </c>
      <c r="D79" s="99"/>
      <c r="E79" s="99"/>
      <c r="F79" s="99"/>
      <c r="G79" s="99"/>
      <c r="H79" s="100"/>
      <c r="I79" s="33"/>
      <c r="J79" s="35" t="b">
        <f t="shared" si="1"/>
        <v>0</v>
      </c>
    </row>
    <row r="80" spans="1:10" ht="19.5" customHeight="1" x14ac:dyDescent="0.3">
      <c r="A80" s="33">
        <v>62</v>
      </c>
      <c r="B80" s="33" t="s">
        <v>248</v>
      </c>
      <c r="C80" s="98" t="s">
        <v>249</v>
      </c>
      <c r="D80" s="99"/>
      <c r="E80" s="99"/>
      <c r="F80" s="99"/>
      <c r="G80" s="99"/>
      <c r="H80" s="100"/>
      <c r="I80" s="33"/>
      <c r="J80" s="35" t="b">
        <f t="shared" si="1"/>
        <v>0</v>
      </c>
    </row>
    <row r="81" spans="1:10" ht="34.5" customHeight="1" x14ac:dyDescent="0.3">
      <c r="A81" s="33">
        <v>63</v>
      </c>
      <c r="B81" s="33" t="s">
        <v>250</v>
      </c>
      <c r="C81" s="98" t="s">
        <v>251</v>
      </c>
      <c r="D81" s="99"/>
      <c r="E81" s="99"/>
      <c r="F81" s="99"/>
      <c r="G81" s="99"/>
      <c r="H81" s="100"/>
      <c r="I81" s="33"/>
      <c r="J81" s="35" t="b">
        <f t="shared" si="1"/>
        <v>0</v>
      </c>
    </row>
    <row r="82" spans="1:10" ht="13.5" customHeight="1" x14ac:dyDescent="0.3">
      <c r="A82" s="33">
        <v>64</v>
      </c>
      <c r="B82" s="33" t="s">
        <v>252</v>
      </c>
      <c r="C82" s="98" t="s">
        <v>253</v>
      </c>
      <c r="D82" s="99"/>
      <c r="E82" s="99"/>
      <c r="F82" s="99"/>
      <c r="G82" s="99"/>
      <c r="H82" s="100"/>
      <c r="I82" s="33"/>
      <c r="J82" s="35" t="b">
        <f t="shared" si="1"/>
        <v>0</v>
      </c>
    </row>
    <row r="83" spans="1:10" ht="32.25" customHeight="1" x14ac:dyDescent="0.3">
      <c r="A83" s="33">
        <v>65</v>
      </c>
      <c r="B83" s="33" t="s">
        <v>254</v>
      </c>
      <c r="C83" s="98" t="s">
        <v>255</v>
      </c>
      <c r="D83" s="99"/>
      <c r="E83" s="99"/>
      <c r="F83" s="99"/>
      <c r="G83" s="99"/>
      <c r="H83" s="100"/>
      <c r="I83" s="33"/>
      <c r="J83" s="35" t="b">
        <f t="shared" si="1"/>
        <v>0</v>
      </c>
    </row>
    <row r="84" spans="1:10" ht="76.5" customHeight="1" x14ac:dyDescent="0.3">
      <c r="A84" s="33">
        <v>66</v>
      </c>
      <c r="B84" s="33" t="s">
        <v>256</v>
      </c>
      <c r="C84" s="98" t="s">
        <v>257</v>
      </c>
      <c r="D84" s="99"/>
      <c r="E84" s="99"/>
      <c r="F84" s="99"/>
      <c r="G84" s="99"/>
      <c r="H84" s="100"/>
      <c r="I84" s="33"/>
      <c r="J84" s="35" t="b">
        <f t="shared" si="1"/>
        <v>0</v>
      </c>
    </row>
    <row r="85" spans="1:10" ht="46.5" customHeight="1" x14ac:dyDescent="0.3">
      <c r="A85" s="33">
        <v>67</v>
      </c>
      <c r="B85" s="33" t="s">
        <v>258</v>
      </c>
      <c r="C85" s="98" t="s">
        <v>259</v>
      </c>
      <c r="D85" s="99"/>
      <c r="E85" s="99"/>
      <c r="F85" s="99"/>
      <c r="G85" s="99"/>
      <c r="H85" s="100"/>
      <c r="I85" s="33"/>
      <c r="J85" s="35" t="b">
        <f t="shared" si="1"/>
        <v>0</v>
      </c>
    </row>
    <row r="86" spans="1:10" ht="51" customHeight="1" x14ac:dyDescent="0.3">
      <c r="A86" s="33">
        <v>68</v>
      </c>
      <c r="B86" s="33" t="s">
        <v>260</v>
      </c>
      <c r="C86" s="98" t="s">
        <v>261</v>
      </c>
      <c r="D86" s="99"/>
      <c r="E86" s="99"/>
      <c r="F86" s="99"/>
      <c r="G86" s="99"/>
      <c r="H86" s="100"/>
      <c r="I86" s="33"/>
      <c r="J86" s="35" t="b">
        <f t="shared" si="1"/>
        <v>0</v>
      </c>
    </row>
    <row r="87" spans="1:10" ht="30.75" customHeight="1" x14ac:dyDescent="0.3">
      <c r="A87" s="33">
        <v>69</v>
      </c>
      <c r="B87" s="33" t="s">
        <v>262</v>
      </c>
      <c r="C87" s="98" t="s">
        <v>263</v>
      </c>
      <c r="D87" s="99"/>
      <c r="E87" s="99"/>
      <c r="F87" s="99"/>
      <c r="G87" s="99"/>
      <c r="H87" s="100"/>
      <c r="I87" s="33"/>
      <c r="J87" s="35" t="b">
        <f t="shared" si="1"/>
        <v>0</v>
      </c>
    </row>
    <row r="88" spans="1:10" ht="30.75" customHeight="1" x14ac:dyDescent="0.3">
      <c r="A88" s="33">
        <v>70</v>
      </c>
      <c r="B88" s="33" t="s">
        <v>264</v>
      </c>
      <c r="C88" s="98" t="s">
        <v>265</v>
      </c>
      <c r="D88" s="99"/>
      <c r="E88" s="99"/>
      <c r="F88" s="99"/>
      <c r="G88" s="99"/>
      <c r="H88" s="100"/>
      <c r="I88" s="33"/>
      <c r="J88" s="35" t="b">
        <f t="shared" si="1"/>
        <v>0</v>
      </c>
    </row>
    <row r="89" spans="1:10" ht="31.5" customHeight="1" x14ac:dyDescent="0.3">
      <c r="A89" s="33">
        <v>71</v>
      </c>
      <c r="B89" s="33" t="s">
        <v>266</v>
      </c>
      <c r="C89" s="98" t="s">
        <v>267</v>
      </c>
      <c r="D89" s="99"/>
      <c r="E89" s="99"/>
      <c r="F89" s="99"/>
      <c r="G89" s="99"/>
      <c r="H89" s="100"/>
      <c r="I89" s="33"/>
      <c r="J89" s="35" t="b">
        <f t="shared" si="1"/>
        <v>0</v>
      </c>
    </row>
    <row r="90" spans="1:10" ht="45.75" customHeight="1" x14ac:dyDescent="0.3">
      <c r="A90" s="33">
        <v>72</v>
      </c>
      <c r="B90" s="33" t="s">
        <v>268</v>
      </c>
      <c r="C90" s="98" t="s">
        <v>269</v>
      </c>
      <c r="D90" s="99"/>
      <c r="E90" s="99"/>
      <c r="F90" s="99"/>
      <c r="G90" s="99"/>
      <c r="H90" s="100"/>
      <c r="I90" s="33"/>
      <c r="J90" s="35" t="b">
        <f t="shared" si="1"/>
        <v>0</v>
      </c>
    </row>
    <row r="91" spans="1:10" ht="30" customHeight="1" x14ac:dyDescent="0.3">
      <c r="A91" s="33">
        <v>73</v>
      </c>
      <c r="B91" s="33" t="s">
        <v>270</v>
      </c>
      <c r="C91" s="98" t="s">
        <v>271</v>
      </c>
      <c r="D91" s="99"/>
      <c r="E91" s="99"/>
      <c r="F91" s="99"/>
      <c r="G91" s="99"/>
      <c r="H91" s="100"/>
      <c r="I91" s="33"/>
      <c r="J91" s="35" t="b">
        <f t="shared" si="1"/>
        <v>0</v>
      </c>
    </row>
    <row r="92" spans="1:10" ht="29.25" customHeight="1" x14ac:dyDescent="0.3">
      <c r="A92" s="33">
        <v>74</v>
      </c>
      <c r="B92" s="33" t="s">
        <v>272</v>
      </c>
      <c r="C92" s="98" t="s">
        <v>273</v>
      </c>
      <c r="D92" s="99"/>
      <c r="E92" s="99"/>
      <c r="F92" s="99"/>
      <c r="G92" s="99"/>
      <c r="H92" s="100"/>
      <c r="I92" s="33"/>
      <c r="J92" s="35" t="b">
        <f t="shared" si="1"/>
        <v>0</v>
      </c>
    </row>
    <row r="93" spans="1:10" ht="31.5" customHeight="1" x14ac:dyDescent="0.3">
      <c r="A93" s="33">
        <v>75</v>
      </c>
      <c r="B93" s="33" t="s">
        <v>274</v>
      </c>
      <c r="C93" s="98" t="s">
        <v>275</v>
      </c>
      <c r="D93" s="99"/>
      <c r="E93" s="99"/>
      <c r="F93" s="99"/>
      <c r="G93" s="99"/>
      <c r="H93" s="100"/>
      <c r="I93" s="33"/>
      <c r="J93" s="35" t="b">
        <f t="shared" si="1"/>
        <v>0</v>
      </c>
    </row>
    <row r="94" spans="1:10" ht="30" customHeight="1" x14ac:dyDescent="0.3">
      <c r="A94" s="33">
        <v>76</v>
      </c>
      <c r="B94" s="33" t="s">
        <v>276</v>
      </c>
      <c r="C94" s="98" t="s">
        <v>277</v>
      </c>
      <c r="D94" s="99"/>
      <c r="E94" s="99"/>
      <c r="F94" s="99"/>
      <c r="G94" s="99"/>
      <c r="H94" s="100"/>
      <c r="I94" s="33"/>
      <c r="J94" s="35" t="b">
        <f t="shared" si="1"/>
        <v>0</v>
      </c>
    </row>
    <row r="95" spans="1:10" ht="30.75" customHeight="1" x14ac:dyDescent="0.3">
      <c r="A95" s="33">
        <v>77</v>
      </c>
      <c r="B95" s="33" t="s">
        <v>278</v>
      </c>
      <c r="C95" s="98" t="s">
        <v>279</v>
      </c>
      <c r="D95" s="99"/>
      <c r="E95" s="99"/>
      <c r="F95" s="99"/>
      <c r="G95" s="99"/>
      <c r="H95" s="100"/>
      <c r="I95" s="33"/>
      <c r="J95" s="35" t="b">
        <f t="shared" si="1"/>
        <v>0</v>
      </c>
    </row>
    <row r="96" spans="1:10" ht="30.75" customHeight="1" x14ac:dyDescent="0.3">
      <c r="A96" s="33">
        <v>78</v>
      </c>
      <c r="B96" s="33" t="s">
        <v>280</v>
      </c>
      <c r="C96" s="98" t="s">
        <v>281</v>
      </c>
      <c r="D96" s="99"/>
      <c r="E96" s="99"/>
      <c r="F96" s="99"/>
      <c r="G96" s="99"/>
      <c r="H96" s="100"/>
      <c r="I96" s="33"/>
      <c r="J96" s="35" t="b">
        <f t="shared" si="1"/>
        <v>0</v>
      </c>
    </row>
    <row r="97" spans="1:10" ht="31.5" customHeight="1" x14ac:dyDescent="0.3">
      <c r="A97" s="33">
        <v>79</v>
      </c>
      <c r="B97" s="33" t="s">
        <v>282</v>
      </c>
      <c r="C97" s="98" t="s">
        <v>283</v>
      </c>
      <c r="D97" s="99"/>
      <c r="E97" s="99"/>
      <c r="F97" s="99"/>
      <c r="G97" s="99"/>
      <c r="H97" s="100"/>
      <c r="I97" s="33"/>
      <c r="J97" s="35" t="b">
        <f t="shared" si="1"/>
        <v>0</v>
      </c>
    </row>
    <row r="98" spans="1:10" ht="30.75" customHeight="1" x14ac:dyDescent="0.3">
      <c r="A98" s="33">
        <v>80</v>
      </c>
      <c r="B98" s="33" t="s">
        <v>284</v>
      </c>
      <c r="C98" s="98" t="s">
        <v>285</v>
      </c>
      <c r="D98" s="99"/>
      <c r="E98" s="99"/>
      <c r="F98" s="99"/>
      <c r="G98" s="99"/>
      <c r="H98" s="100"/>
      <c r="I98" s="33"/>
      <c r="J98" s="35" t="b">
        <f t="shared" si="1"/>
        <v>0</v>
      </c>
    </row>
    <row r="99" spans="1:10" ht="31.5" customHeight="1" x14ac:dyDescent="0.3">
      <c r="A99" s="33">
        <v>81</v>
      </c>
      <c r="B99" s="33" t="s">
        <v>286</v>
      </c>
      <c r="C99" s="98" t="s">
        <v>287</v>
      </c>
      <c r="D99" s="99"/>
      <c r="E99" s="99"/>
      <c r="F99" s="99"/>
      <c r="G99" s="99"/>
      <c r="H99" s="100"/>
      <c r="I99" s="33"/>
      <c r="J99" s="35" t="b">
        <f t="shared" si="1"/>
        <v>0</v>
      </c>
    </row>
    <row r="100" spans="1:10" ht="78" customHeight="1" x14ac:dyDescent="0.3">
      <c r="A100" s="33">
        <v>82</v>
      </c>
      <c r="B100" s="33" t="s">
        <v>288</v>
      </c>
      <c r="C100" s="98" t="s">
        <v>289</v>
      </c>
      <c r="D100" s="99"/>
      <c r="E100" s="99"/>
      <c r="F100" s="99"/>
      <c r="G100" s="99"/>
      <c r="H100" s="100"/>
      <c r="I100" s="33"/>
      <c r="J100" s="35" t="b">
        <f t="shared" si="1"/>
        <v>0</v>
      </c>
    </row>
    <row r="101" spans="1:10" ht="29.25" customHeight="1" x14ac:dyDescent="0.3">
      <c r="A101" s="33">
        <v>83</v>
      </c>
      <c r="B101" s="33" t="s">
        <v>290</v>
      </c>
      <c r="C101" s="98" t="s">
        <v>291</v>
      </c>
      <c r="D101" s="99"/>
      <c r="E101" s="99"/>
      <c r="F101" s="99"/>
      <c r="G101" s="99"/>
      <c r="H101" s="100"/>
      <c r="I101" s="33"/>
      <c r="J101" s="35" t="b">
        <f t="shared" si="1"/>
        <v>0</v>
      </c>
    </row>
    <row r="102" spans="1:10" ht="48" customHeight="1" x14ac:dyDescent="0.3">
      <c r="A102" s="33">
        <v>84</v>
      </c>
      <c r="B102" s="33" t="s">
        <v>292</v>
      </c>
      <c r="C102" s="98" t="s">
        <v>293</v>
      </c>
      <c r="D102" s="99"/>
      <c r="E102" s="99"/>
      <c r="F102" s="99"/>
      <c r="G102" s="99"/>
      <c r="H102" s="100"/>
      <c r="I102" s="33"/>
      <c r="J102" s="35" t="b">
        <f t="shared" si="1"/>
        <v>0</v>
      </c>
    </row>
    <row r="103" spans="1:10" ht="30" customHeight="1" x14ac:dyDescent="0.3">
      <c r="A103" s="33">
        <v>85</v>
      </c>
      <c r="B103" s="33" t="s">
        <v>294</v>
      </c>
      <c r="C103" s="98" t="s">
        <v>295</v>
      </c>
      <c r="D103" s="99"/>
      <c r="E103" s="99"/>
      <c r="F103" s="99"/>
      <c r="G103" s="99"/>
      <c r="H103" s="100"/>
      <c r="I103" s="33"/>
      <c r="J103" s="35" t="b">
        <f t="shared" si="1"/>
        <v>0</v>
      </c>
    </row>
    <row r="104" spans="1:10" ht="66" customHeight="1" x14ac:dyDescent="0.3">
      <c r="A104" s="33">
        <v>86</v>
      </c>
      <c r="B104" s="33" t="s">
        <v>296</v>
      </c>
      <c r="C104" s="98" t="s">
        <v>297</v>
      </c>
      <c r="D104" s="99"/>
      <c r="E104" s="99"/>
      <c r="F104" s="99"/>
      <c r="G104" s="99"/>
      <c r="H104" s="100"/>
      <c r="I104" s="33"/>
      <c r="J104" s="35" t="b">
        <f t="shared" si="1"/>
        <v>0</v>
      </c>
    </row>
    <row r="105" spans="1:10" ht="103.5" customHeight="1" x14ac:dyDescent="0.3">
      <c r="A105" s="33">
        <v>87</v>
      </c>
      <c r="B105" s="33" t="s">
        <v>298</v>
      </c>
      <c r="C105" s="98" t="s">
        <v>299</v>
      </c>
      <c r="D105" s="99"/>
      <c r="E105" s="99"/>
      <c r="F105" s="99"/>
      <c r="G105" s="99"/>
      <c r="H105" s="100"/>
      <c r="I105" s="33"/>
      <c r="J105" s="35" t="b">
        <f t="shared" si="1"/>
        <v>0</v>
      </c>
    </row>
    <row r="106" spans="1:10" ht="63.75" customHeight="1" x14ac:dyDescent="0.3">
      <c r="A106" s="33">
        <v>88</v>
      </c>
      <c r="B106" s="33" t="s">
        <v>300</v>
      </c>
      <c r="C106" s="98" t="s">
        <v>301</v>
      </c>
      <c r="D106" s="99"/>
      <c r="E106" s="99"/>
      <c r="F106" s="99"/>
      <c r="G106" s="99"/>
      <c r="H106" s="100"/>
      <c r="I106" s="33"/>
      <c r="J106" s="35" t="b">
        <f t="shared" si="1"/>
        <v>0</v>
      </c>
    </row>
    <row r="107" spans="1:10" ht="62.25" customHeight="1" x14ac:dyDescent="0.3">
      <c r="A107" s="33">
        <v>89</v>
      </c>
      <c r="B107" s="33" t="s">
        <v>302</v>
      </c>
      <c r="C107" s="98" t="s">
        <v>303</v>
      </c>
      <c r="D107" s="99"/>
      <c r="E107" s="99"/>
      <c r="F107" s="99"/>
      <c r="G107" s="99"/>
      <c r="H107" s="100"/>
      <c r="I107" s="33"/>
      <c r="J107" s="35" t="b">
        <f t="shared" si="1"/>
        <v>0</v>
      </c>
    </row>
    <row r="108" spans="1:10" ht="32.25" customHeight="1" x14ac:dyDescent="0.3">
      <c r="A108" s="33">
        <v>90</v>
      </c>
      <c r="B108" s="33" t="s">
        <v>304</v>
      </c>
      <c r="C108" s="98" t="s">
        <v>305</v>
      </c>
      <c r="D108" s="99"/>
      <c r="E108" s="99"/>
      <c r="F108" s="99"/>
      <c r="G108" s="99"/>
      <c r="H108" s="100"/>
      <c r="I108" s="33"/>
      <c r="J108" s="35" t="b">
        <f t="shared" si="1"/>
        <v>0</v>
      </c>
    </row>
    <row r="109" spans="1:10" ht="28.5" customHeight="1" x14ac:dyDescent="0.3">
      <c r="A109" s="33">
        <v>91</v>
      </c>
      <c r="B109" s="33" t="s">
        <v>306</v>
      </c>
      <c r="C109" s="98" t="s">
        <v>307</v>
      </c>
      <c r="D109" s="99"/>
      <c r="E109" s="99"/>
      <c r="F109" s="99"/>
      <c r="G109" s="99"/>
      <c r="H109" s="100"/>
      <c r="I109" s="33"/>
      <c r="J109" s="35" t="b">
        <f t="shared" si="1"/>
        <v>0</v>
      </c>
    </row>
    <row r="110" spans="1:10" ht="33" customHeight="1" x14ac:dyDescent="0.3">
      <c r="A110" s="33">
        <v>92</v>
      </c>
      <c r="B110" s="33" t="s">
        <v>308</v>
      </c>
      <c r="C110" s="98" t="s">
        <v>309</v>
      </c>
      <c r="D110" s="99"/>
      <c r="E110" s="99"/>
      <c r="F110" s="99"/>
      <c r="G110" s="99"/>
      <c r="H110" s="100"/>
      <c r="I110" s="33"/>
      <c r="J110" s="35" t="b">
        <f t="shared" si="1"/>
        <v>0</v>
      </c>
    </row>
    <row r="111" spans="1:10" ht="45.75" customHeight="1" x14ac:dyDescent="0.3">
      <c r="A111" s="33">
        <v>93</v>
      </c>
      <c r="B111" s="33" t="s">
        <v>310</v>
      </c>
      <c r="C111" s="98" t="s">
        <v>311</v>
      </c>
      <c r="D111" s="99"/>
      <c r="E111" s="99"/>
      <c r="F111" s="99"/>
      <c r="G111" s="99"/>
      <c r="H111" s="100"/>
      <c r="I111" s="33"/>
      <c r="J111" s="35" t="b">
        <f t="shared" si="1"/>
        <v>0</v>
      </c>
    </row>
    <row r="112" spans="1:10" ht="45" customHeight="1" x14ac:dyDescent="0.3">
      <c r="A112" s="33">
        <v>94</v>
      </c>
      <c r="B112" s="33" t="s">
        <v>312</v>
      </c>
      <c r="C112" s="98" t="s">
        <v>313</v>
      </c>
      <c r="D112" s="99"/>
      <c r="E112" s="99"/>
      <c r="F112" s="99"/>
      <c r="G112" s="99"/>
      <c r="H112" s="100"/>
      <c r="I112" s="33"/>
      <c r="J112" s="35" t="b">
        <f t="shared" si="1"/>
        <v>0</v>
      </c>
    </row>
    <row r="113" spans="1:10" ht="30.75" customHeight="1" x14ac:dyDescent="0.3">
      <c r="A113" s="33">
        <v>95</v>
      </c>
      <c r="B113" s="33" t="s">
        <v>314</v>
      </c>
      <c r="C113" s="98" t="s">
        <v>315</v>
      </c>
      <c r="D113" s="99"/>
      <c r="E113" s="99"/>
      <c r="F113" s="99"/>
      <c r="G113" s="99"/>
      <c r="H113" s="100"/>
      <c r="I113" s="33"/>
      <c r="J113" s="35" t="b">
        <f t="shared" si="1"/>
        <v>0</v>
      </c>
    </row>
    <row r="114" spans="1:10" ht="42.75" customHeight="1" x14ac:dyDescent="0.3">
      <c r="A114" s="33">
        <v>96</v>
      </c>
      <c r="B114" s="33" t="s">
        <v>316</v>
      </c>
      <c r="C114" s="98" t="s">
        <v>317</v>
      </c>
      <c r="D114" s="99"/>
      <c r="E114" s="99"/>
      <c r="F114" s="99"/>
      <c r="G114" s="99"/>
      <c r="H114" s="100"/>
      <c r="I114" s="33"/>
      <c r="J114" s="35" t="b">
        <f t="shared" si="1"/>
        <v>0</v>
      </c>
    </row>
    <row r="115" spans="1:10" ht="89.25" customHeight="1" x14ac:dyDescent="0.3">
      <c r="A115" s="33">
        <v>97</v>
      </c>
      <c r="B115" s="33" t="s">
        <v>318</v>
      </c>
      <c r="C115" s="98" t="s">
        <v>319</v>
      </c>
      <c r="D115" s="99"/>
      <c r="E115" s="99"/>
      <c r="F115" s="99"/>
      <c r="G115" s="99"/>
      <c r="H115" s="100"/>
      <c r="I115" s="33"/>
      <c r="J115" s="35" t="b">
        <f t="shared" si="1"/>
        <v>0</v>
      </c>
    </row>
    <row r="116" spans="1:10" ht="44.25" customHeight="1" x14ac:dyDescent="0.3">
      <c r="A116" s="33">
        <v>98</v>
      </c>
      <c r="B116" s="33" t="s">
        <v>320</v>
      </c>
      <c r="C116" s="98" t="s">
        <v>321</v>
      </c>
      <c r="D116" s="99"/>
      <c r="E116" s="99"/>
      <c r="F116" s="99"/>
      <c r="G116" s="99"/>
      <c r="H116" s="100"/>
      <c r="I116" s="33"/>
      <c r="J116" s="35" t="b">
        <f t="shared" si="1"/>
        <v>0</v>
      </c>
    </row>
    <row r="117" spans="1:10" ht="45" customHeight="1" x14ac:dyDescent="0.3">
      <c r="A117" s="33">
        <v>99</v>
      </c>
      <c r="B117" s="33" t="s">
        <v>322</v>
      </c>
      <c r="C117" s="98" t="s">
        <v>323</v>
      </c>
      <c r="D117" s="99"/>
      <c r="E117" s="99"/>
      <c r="F117" s="99"/>
      <c r="G117" s="99"/>
      <c r="H117" s="100"/>
      <c r="I117" s="33"/>
      <c r="J117" s="35" t="b">
        <f t="shared" si="1"/>
        <v>0</v>
      </c>
    </row>
    <row r="118" spans="1:10" ht="135.75" customHeight="1" x14ac:dyDescent="0.3">
      <c r="A118" s="33">
        <v>100</v>
      </c>
      <c r="B118" s="33" t="s">
        <v>324</v>
      </c>
      <c r="C118" s="98" t="s">
        <v>325</v>
      </c>
      <c r="D118" s="99"/>
      <c r="E118" s="99"/>
      <c r="F118" s="99"/>
      <c r="G118" s="99"/>
      <c r="H118" s="100"/>
      <c r="I118" s="33"/>
      <c r="J118" s="35" t="b">
        <f t="shared" si="1"/>
        <v>0</v>
      </c>
    </row>
    <row r="119" spans="1:10" ht="15.6" x14ac:dyDescent="0.3">
      <c r="J119" s="37"/>
    </row>
    <row r="120" spans="1:10" ht="15.6" x14ac:dyDescent="0.3">
      <c r="J120" s="37"/>
    </row>
    <row r="121" spans="1:10" ht="15.6" x14ac:dyDescent="0.3">
      <c r="J121" s="37"/>
    </row>
    <row r="122" spans="1:10" x14ac:dyDescent="0.3">
      <c r="J122" s="56"/>
    </row>
    <row r="123" spans="1:10" ht="15.6" x14ac:dyDescent="0.3">
      <c r="J123" s="37"/>
    </row>
    <row r="124" spans="1:10" ht="15.6" x14ac:dyDescent="0.3">
      <c r="J124" s="37"/>
    </row>
    <row r="125" spans="1:10" ht="15.6" x14ac:dyDescent="0.3">
      <c r="J125" s="37"/>
    </row>
    <row r="126" spans="1:10" ht="15.6" x14ac:dyDescent="0.3">
      <c r="J126" s="37"/>
    </row>
    <row r="128" spans="1:10" ht="15.6" x14ac:dyDescent="0.3">
      <c r="J128" s="37"/>
    </row>
    <row r="129" spans="10:10" ht="15.6" x14ac:dyDescent="0.3">
      <c r="J129" s="37"/>
    </row>
    <row r="130" spans="10:10" ht="15.6" x14ac:dyDescent="0.3">
      <c r="J130" s="37"/>
    </row>
    <row r="131" spans="10:10" ht="15.6" x14ac:dyDescent="0.3">
      <c r="J131" s="37"/>
    </row>
    <row r="132" spans="10:10" ht="15.6" x14ac:dyDescent="0.3">
      <c r="J132" s="37"/>
    </row>
    <row r="133" spans="10:10" ht="15.6" x14ac:dyDescent="0.3">
      <c r="J133" s="37"/>
    </row>
    <row r="134" spans="10:10" ht="15.6" x14ac:dyDescent="0.3">
      <c r="J134" s="37"/>
    </row>
    <row r="135" spans="10:10" x14ac:dyDescent="0.3">
      <c r="J135" s="56"/>
    </row>
    <row r="136" spans="10:10" ht="15.6" x14ac:dyDescent="0.3">
      <c r="J136" s="37"/>
    </row>
    <row r="137" spans="10:10" ht="15.6" x14ac:dyDescent="0.3">
      <c r="J137" s="37"/>
    </row>
    <row r="138" spans="10:10" ht="15.6" x14ac:dyDescent="0.3">
      <c r="J138" s="37"/>
    </row>
    <row r="139" spans="10:10" ht="15.6" x14ac:dyDescent="0.3">
      <c r="J139" s="37"/>
    </row>
    <row r="140" spans="10:10" ht="15.6" x14ac:dyDescent="0.3">
      <c r="J140" s="37"/>
    </row>
    <row r="141" spans="10:10" ht="15.6" x14ac:dyDescent="0.3">
      <c r="J141" s="37"/>
    </row>
    <row r="142" spans="10:10" ht="15.6" x14ac:dyDescent="0.3">
      <c r="J142" s="37"/>
    </row>
    <row r="143" spans="10:10" ht="15.6" x14ac:dyDescent="0.3">
      <c r="J143" s="37"/>
    </row>
    <row r="144" spans="10:10" ht="15.6" x14ac:dyDescent="0.3">
      <c r="J144" s="37"/>
    </row>
  </sheetData>
  <mergeCells count="115">
    <mergeCell ref="A1:J1"/>
    <mergeCell ref="A2:J5"/>
    <mergeCell ref="A6:J6"/>
    <mergeCell ref="C7:H7"/>
    <mergeCell ref="C18:H18"/>
    <mergeCell ref="C114:H114"/>
    <mergeCell ref="C115:H115"/>
    <mergeCell ref="C116:H116"/>
    <mergeCell ref="C117:H117"/>
    <mergeCell ref="C96:H96"/>
    <mergeCell ref="C97:H97"/>
    <mergeCell ref="C98:H98"/>
    <mergeCell ref="C99:H99"/>
    <mergeCell ref="C100:H100"/>
    <mergeCell ref="C101:H101"/>
    <mergeCell ref="C90:H90"/>
    <mergeCell ref="C91:H91"/>
    <mergeCell ref="C92:H92"/>
    <mergeCell ref="C93:H93"/>
    <mergeCell ref="C94:H94"/>
    <mergeCell ref="C95:H95"/>
    <mergeCell ref="C84:H84"/>
    <mergeCell ref="C85:H85"/>
    <mergeCell ref="C86:H86"/>
    <mergeCell ref="C118:H118"/>
    <mergeCell ref="C108:H108"/>
    <mergeCell ref="C109:H109"/>
    <mergeCell ref="C110:H110"/>
    <mergeCell ref="C111:H111"/>
    <mergeCell ref="C112:H112"/>
    <mergeCell ref="C113:H113"/>
    <mergeCell ref="C102:H102"/>
    <mergeCell ref="C103:H103"/>
    <mergeCell ref="C104:H104"/>
    <mergeCell ref="C105:H105"/>
    <mergeCell ref="C106:H106"/>
    <mergeCell ref="C107:H107"/>
    <mergeCell ref="C87:H87"/>
    <mergeCell ref="C88:H88"/>
    <mergeCell ref="C89:H89"/>
    <mergeCell ref="C78:H78"/>
    <mergeCell ref="C79:H79"/>
    <mergeCell ref="C80:H80"/>
    <mergeCell ref="C81:H81"/>
    <mergeCell ref="C82:H82"/>
    <mergeCell ref="C83:H83"/>
    <mergeCell ref="C72:H72"/>
    <mergeCell ref="C73:H73"/>
    <mergeCell ref="C74:H74"/>
    <mergeCell ref="C75:H75"/>
    <mergeCell ref="C76:H76"/>
    <mergeCell ref="C77:H77"/>
    <mergeCell ref="C66:H66"/>
    <mergeCell ref="C67:H67"/>
    <mergeCell ref="C68:H68"/>
    <mergeCell ref="C69:H69"/>
    <mergeCell ref="C70:H70"/>
    <mergeCell ref="C71:H71"/>
    <mergeCell ref="C60:H60"/>
    <mergeCell ref="C61:H61"/>
    <mergeCell ref="C62:H62"/>
    <mergeCell ref="C63:H63"/>
    <mergeCell ref="C64:H64"/>
    <mergeCell ref="C65:H65"/>
    <mergeCell ref="C54:H54"/>
    <mergeCell ref="C55:H55"/>
    <mergeCell ref="C56:H56"/>
    <mergeCell ref="C57:H57"/>
    <mergeCell ref="C58:H58"/>
    <mergeCell ref="C59:H59"/>
    <mergeCell ref="C48:H48"/>
    <mergeCell ref="C49:H49"/>
    <mergeCell ref="C50:H50"/>
    <mergeCell ref="C51:H51"/>
    <mergeCell ref="C52:H52"/>
    <mergeCell ref="C53:H53"/>
    <mergeCell ref="C42:H42"/>
    <mergeCell ref="C43:H43"/>
    <mergeCell ref="C44:H44"/>
    <mergeCell ref="C45:H45"/>
    <mergeCell ref="C46:H46"/>
    <mergeCell ref="C47:H47"/>
    <mergeCell ref="C36:H36"/>
    <mergeCell ref="C37:H37"/>
    <mergeCell ref="C38:H38"/>
    <mergeCell ref="C39:H39"/>
    <mergeCell ref="C40:H40"/>
    <mergeCell ref="C41:H41"/>
    <mergeCell ref="C30:H30"/>
    <mergeCell ref="C31:H31"/>
    <mergeCell ref="C32:H32"/>
    <mergeCell ref="C33:H33"/>
    <mergeCell ref="C34:H34"/>
    <mergeCell ref="C35:H35"/>
    <mergeCell ref="C24:H24"/>
    <mergeCell ref="C25:H25"/>
    <mergeCell ref="C26:H26"/>
    <mergeCell ref="C27:H27"/>
    <mergeCell ref="C28:H28"/>
    <mergeCell ref="C29:H29"/>
    <mergeCell ref="C8:H8"/>
    <mergeCell ref="C9:H9"/>
    <mergeCell ref="C10:H10"/>
    <mergeCell ref="C11:H11"/>
    <mergeCell ref="C19:H19"/>
    <mergeCell ref="C20:H20"/>
    <mergeCell ref="C21:H21"/>
    <mergeCell ref="C22:H22"/>
    <mergeCell ref="C23:H23"/>
    <mergeCell ref="C12:H12"/>
    <mergeCell ref="C13:H13"/>
    <mergeCell ref="C14:H14"/>
    <mergeCell ref="C15:H15"/>
    <mergeCell ref="C16:H16"/>
    <mergeCell ref="C17:H1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Lista!$C$2:$C$5</xm:f>
          </x14:formula1>
          <xm:sqref>I8:I17 I19:I118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0"/>
  <sheetViews>
    <sheetView workbookViewId="0">
      <selection activeCell="C8" sqref="C8:H8"/>
    </sheetView>
  </sheetViews>
  <sheetFormatPr baseColWidth="10" defaultColWidth="10.77734375" defaultRowHeight="15" x14ac:dyDescent="0.3"/>
  <cols>
    <col min="1" max="1" width="7.21875" style="48" customWidth="1"/>
    <col min="2" max="2" width="18.44140625" style="48" customWidth="1"/>
    <col min="3" max="3" width="10.21875" style="45" customWidth="1"/>
    <col min="4" max="4" width="9.5546875" style="45" customWidth="1"/>
    <col min="5" max="5" width="8.21875" style="45" customWidth="1"/>
    <col min="6" max="6" width="8" style="45" customWidth="1"/>
    <col min="7" max="7" width="10.77734375" style="45" customWidth="1"/>
    <col min="8" max="8" width="11.44140625" style="45" customWidth="1"/>
    <col min="9" max="9" width="19.21875" style="48" customWidth="1"/>
    <col min="10" max="10" width="14.5546875" style="36" customWidth="1"/>
    <col min="11" max="16384" width="10.77734375" style="45"/>
  </cols>
  <sheetData>
    <row r="1" spans="1:11" x14ac:dyDescent="0.3">
      <c r="A1" s="116"/>
      <c r="B1" s="116"/>
      <c r="C1" s="116"/>
      <c r="D1" s="116"/>
      <c r="E1" s="116"/>
      <c r="F1" s="116"/>
      <c r="G1" s="116"/>
      <c r="H1" s="116"/>
      <c r="I1" s="116"/>
      <c r="J1" s="116"/>
    </row>
    <row r="2" spans="1:11" x14ac:dyDescent="0.3">
      <c r="A2" s="117"/>
      <c r="B2" s="117"/>
      <c r="C2" s="117"/>
      <c r="D2" s="117"/>
      <c r="E2" s="117"/>
      <c r="F2" s="117"/>
      <c r="G2" s="117"/>
      <c r="H2" s="117"/>
      <c r="I2" s="117"/>
      <c r="J2" s="117"/>
    </row>
    <row r="3" spans="1:11" x14ac:dyDescent="0.3">
      <c r="A3" s="117"/>
      <c r="B3" s="117"/>
      <c r="C3" s="117"/>
      <c r="D3" s="117"/>
      <c r="E3" s="117"/>
      <c r="F3" s="117"/>
      <c r="G3" s="117"/>
      <c r="H3" s="117"/>
      <c r="I3" s="117"/>
      <c r="J3" s="117"/>
    </row>
    <row r="4" spans="1:11" x14ac:dyDescent="0.3">
      <c r="A4" s="117"/>
      <c r="B4" s="117"/>
      <c r="C4" s="117"/>
      <c r="D4" s="117"/>
      <c r="E4" s="117"/>
      <c r="F4" s="117"/>
      <c r="G4" s="117"/>
      <c r="H4" s="117"/>
      <c r="I4" s="117"/>
      <c r="J4" s="117"/>
    </row>
    <row r="5" spans="1:11" x14ac:dyDescent="0.2">
      <c r="A5" s="70" t="s">
        <v>753</v>
      </c>
    </row>
    <row r="6" spans="1:11" ht="59.25" customHeight="1" x14ac:dyDescent="0.25">
      <c r="A6" s="111" t="s">
        <v>11</v>
      </c>
      <c r="B6" s="111"/>
      <c r="C6" s="111"/>
      <c r="D6" s="111"/>
      <c r="E6" s="111"/>
      <c r="F6" s="111"/>
      <c r="G6" s="111"/>
      <c r="H6" s="111"/>
      <c r="I6" s="111"/>
      <c r="J6" s="111"/>
      <c r="K6" s="44"/>
    </row>
    <row r="7" spans="1:11" ht="18" customHeight="1" x14ac:dyDescent="0.3">
      <c r="A7" s="46" t="s">
        <v>13</v>
      </c>
      <c r="B7" s="47" t="s">
        <v>14</v>
      </c>
      <c r="C7" s="109" t="s">
        <v>736</v>
      </c>
      <c r="D7" s="110"/>
      <c r="E7" s="110"/>
      <c r="F7" s="110"/>
      <c r="G7" s="110"/>
      <c r="H7" s="112"/>
      <c r="I7" s="55" t="s">
        <v>620</v>
      </c>
      <c r="J7" s="55" t="s">
        <v>621</v>
      </c>
    </row>
    <row r="8" spans="1:11" ht="61.5" customHeight="1" x14ac:dyDescent="0.3">
      <c r="A8" s="19">
        <v>1</v>
      </c>
      <c r="B8" s="20" t="s">
        <v>109</v>
      </c>
      <c r="C8" s="101" t="s">
        <v>110</v>
      </c>
      <c r="D8" s="102"/>
      <c r="E8" s="102"/>
      <c r="F8" s="102"/>
      <c r="G8" s="102"/>
      <c r="H8" s="103"/>
      <c r="I8" s="19"/>
      <c r="J8" s="35" t="b">
        <f>IF(I8="No cumple",0,IF(I8="No aplica",2,IF(I8="Cumple totalmente",2,IF(I8="Cumple parcialmente",1))))</f>
        <v>0</v>
      </c>
    </row>
    <row r="9" spans="1:11" ht="31.5" customHeight="1" x14ac:dyDescent="0.3">
      <c r="A9" s="19">
        <v>2</v>
      </c>
      <c r="B9" s="20" t="s">
        <v>111</v>
      </c>
      <c r="C9" s="101" t="s">
        <v>112</v>
      </c>
      <c r="D9" s="102"/>
      <c r="E9" s="102"/>
      <c r="F9" s="102"/>
      <c r="G9" s="102"/>
      <c r="H9" s="103"/>
      <c r="I9" s="19"/>
      <c r="J9" s="35" t="b">
        <f t="shared" ref="J9:J55" si="0">IF(I9="No cumple",0,IF(I9="No aplica",2,IF(I9="Cumple totalmente",2,IF(I9="Cumple parcialmente",1))))</f>
        <v>0</v>
      </c>
    </row>
    <row r="10" spans="1:11" ht="47.25" customHeight="1" x14ac:dyDescent="0.3">
      <c r="A10" s="19">
        <v>3</v>
      </c>
      <c r="B10" s="20" t="s">
        <v>113</v>
      </c>
      <c r="C10" s="98" t="s">
        <v>114</v>
      </c>
      <c r="D10" s="99"/>
      <c r="E10" s="99"/>
      <c r="F10" s="99"/>
      <c r="G10" s="99"/>
      <c r="H10" s="100"/>
      <c r="I10" s="19"/>
      <c r="J10" s="35" t="b">
        <f t="shared" si="0"/>
        <v>0</v>
      </c>
    </row>
    <row r="11" spans="1:11" ht="31.5" customHeight="1" x14ac:dyDescent="0.3">
      <c r="A11" s="19">
        <v>4</v>
      </c>
      <c r="B11" s="20" t="s">
        <v>115</v>
      </c>
      <c r="C11" s="98" t="s">
        <v>116</v>
      </c>
      <c r="D11" s="99"/>
      <c r="E11" s="99"/>
      <c r="F11" s="99"/>
      <c r="G11" s="99"/>
      <c r="H11" s="100"/>
      <c r="I11" s="19"/>
      <c r="J11" s="35" t="b">
        <f t="shared" si="0"/>
        <v>0</v>
      </c>
    </row>
    <row r="12" spans="1:11" ht="30" customHeight="1" x14ac:dyDescent="0.3">
      <c r="A12" s="19">
        <v>5</v>
      </c>
      <c r="B12" s="20" t="s">
        <v>117</v>
      </c>
      <c r="C12" s="98" t="s">
        <v>118</v>
      </c>
      <c r="D12" s="99"/>
      <c r="E12" s="99"/>
      <c r="F12" s="99"/>
      <c r="G12" s="99"/>
      <c r="H12" s="100"/>
      <c r="I12" s="19"/>
      <c r="J12" s="35" t="b">
        <f t="shared" si="0"/>
        <v>0</v>
      </c>
    </row>
    <row r="13" spans="1:11" ht="34.5" customHeight="1" x14ac:dyDescent="0.3">
      <c r="A13" s="19">
        <v>6</v>
      </c>
      <c r="B13" s="20" t="s">
        <v>119</v>
      </c>
      <c r="C13" s="98" t="s">
        <v>120</v>
      </c>
      <c r="D13" s="99"/>
      <c r="E13" s="99"/>
      <c r="F13" s="99"/>
      <c r="G13" s="99"/>
      <c r="H13" s="100"/>
      <c r="I13" s="19"/>
      <c r="J13" s="35" t="b">
        <f t="shared" si="0"/>
        <v>0</v>
      </c>
    </row>
    <row r="14" spans="1:11" ht="34.5" customHeight="1" x14ac:dyDescent="0.3">
      <c r="A14" s="19">
        <v>7</v>
      </c>
      <c r="B14" s="20" t="s">
        <v>121</v>
      </c>
      <c r="C14" s="98" t="s">
        <v>122</v>
      </c>
      <c r="D14" s="99"/>
      <c r="E14" s="99"/>
      <c r="F14" s="99"/>
      <c r="G14" s="99"/>
      <c r="H14" s="100"/>
      <c r="I14" s="19"/>
      <c r="J14" s="35" t="b">
        <f t="shared" si="0"/>
        <v>0</v>
      </c>
    </row>
    <row r="15" spans="1:11" ht="58.5" customHeight="1" x14ac:dyDescent="0.3">
      <c r="A15" s="19">
        <v>8</v>
      </c>
      <c r="B15" s="20" t="s">
        <v>121</v>
      </c>
      <c r="C15" s="98" t="s">
        <v>123</v>
      </c>
      <c r="D15" s="99"/>
      <c r="E15" s="99"/>
      <c r="F15" s="99"/>
      <c r="G15" s="99"/>
      <c r="H15" s="100"/>
      <c r="I15" s="19"/>
      <c r="J15" s="35" t="b">
        <f t="shared" si="0"/>
        <v>0</v>
      </c>
    </row>
    <row r="16" spans="1:11" ht="78.75" customHeight="1" x14ac:dyDescent="0.3">
      <c r="A16" s="19">
        <v>9</v>
      </c>
      <c r="B16" s="20" t="s">
        <v>124</v>
      </c>
      <c r="C16" s="98" t="s">
        <v>125</v>
      </c>
      <c r="D16" s="99"/>
      <c r="E16" s="99"/>
      <c r="F16" s="99"/>
      <c r="G16" s="99"/>
      <c r="H16" s="100"/>
      <c r="I16" s="19"/>
      <c r="J16" s="35" t="b">
        <f t="shared" si="0"/>
        <v>0</v>
      </c>
    </row>
    <row r="17" spans="1:10" ht="75" customHeight="1" x14ac:dyDescent="0.3">
      <c r="A17" s="19">
        <v>10</v>
      </c>
      <c r="B17" s="20" t="s">
        <v>126</v>
      </c>
      <c r="C17" s="98" t="s">
        <v>127</v>
      </c>
      <c r="D17" s="99"/>
      <c r="E17" s="99"/>
      <c r="F17" s="99"/>
      <c r="G17" s="99"/>
      <c r="H17" s="100"/>
      <c r="I17" s="19"/>
      <c r="J17" s="35" t="b">
        <f t="shared" si="0"/>
        <v>0</v>
      </c>
    </row>
    <row r="18" spans="1:10" ht="18" customHeight="1" x14ac:dyDescent="0.3">
      <c r="A18" s="46" t="s">
        <v>13</v>
      </c>
      <c r="B18" s="47" t="s">
        <v>14</v>
      </c>
      <c r="C18" s="109" t="s">
        <v>737</v>
      </c>
      <c r="D18" s="110"/>
      <c r="E18" s="110"/>
      <c r="F18" s="110"/>
      <c r="G18" s="110"/>
      <c r="H18" s="110"/>
      <c r="I18" s="55" t="s">
        <v>620</v>
      </c>
      <c r="J18" s="55" t="s">
        <v>621</v>
      </c>
    </row>
    <row r="19" spans="1:10" ht="21.75" customHeight="1" x14ac:dyDescent="0.3">
      <c r="A19" s="19">
        <v>1</v>
      </c>
      <c r="B19" s="20" t="s">
        <v>326</v>
      </c>
      <c r="C19" s="104" t="s">
        <v>327</v>
      </c>
      <c r="D19" s="104"/>
      <c r="E19" s="104"/>
      <c r="F19" s="104"/>
      <c r="G19" s="104"/>
      <c r="H19" s="104"/>
      <c r="I19" s="19"/>
      <c r="J19" s="35" t="b">
        <f t="shared" si="0"/>
        <v>0</v>
      </c>
    </row>
    <row r="20" spans="1:10" ht="46.5" customHeight="1" x14ac:dyDescent="0.3">
      <c r="A20" s="19">
        <v>2</v>
      </c>
      <c r="B20" s="20" t="s">
        <v>328</v>
      </c>
      <c r="C20" s="104" t="s">
        <v>329</v>
      </c>
      <c r="D20" s="104"/>
      <c r="E20" s="104"/>
      <c r="F20" s="104"/>
      <c r="G20" s="104"/>
      <c r="H20" s="104"/>
      <c r="I20" s="19"/>
      <c r="J20" s="35" t="b">
        <f t="shared" si="0"/>
        <v>0</v>
      </c>
    </row>
    <row r="21" spans="1:10" ht="31.5" customHeight="1" x14ac:dyDescent="0.3">
      <c r="A21" s="19">
        <v>3</v>
      </c>
      <c r="B21" s="20" t="s">
        <v>330</v>
      </c>
      <c r="C21" s="98" t="s">
        <v>331</v>
      </c>
      <c r="D21" s="99"/>
      <c r="E21" s="99"/>
      <c r="F21" s="99"/>
      <c r="G21" s="99"/>
      <c r="H21" s="100"/>
      <c r="I21" s="19"/>
      <c r="J21" s="35" t="b">
        <f t="shared" si="0"/>
        <v>0</v>
      </c>
    </row>
    <row r="22" spans="1:10" ht="30" customHeight="1" x14ac:dyDescent="0.3">
      <c r="A22" s="19">
        <v>4</v>
      </c>
      <c r="B22" s="20" t="s">
        <v>332</v>
      </c>
      <c r="C22" s="98" t="s">
        <v>333</v>
      </c>
      <c r="D22" s="99"/>
      <c r="E22" s="99"/>
      <c r="F22" s="99"/>
      <c r="G22" s="99"/>
      <c r="H22" s="100"/>
      <c r="I22" s="19"/>
      <c r="J22" s="35" t="b">
        <f t="shared" si="0"/>
        <v>0</v>
      </c>
    </row>
    <row r="23" spans="1:10" ht="35.25" customHeight="1" x14ac:dyDescent="0.3">
      <c r="A23" s="19">
        <v>5</v>
      </c>
      <c r="B23" s="20" t="s">
        <v>334</v>
      </c>
      <c r="C23" s="98" t="s">
        <v>335</v>
      </c>
      <c r="D23" s="99"/>
      <c r="E23" s="99"/>
      <c r="F23" s="99"/>
      <c r="G23" s="99"/>
      <c r="H23" s="100"/>
      <c r="I23" s="19"/>
      <c r="J23" s="35" t="b">
        <f t="shared" si="0"/>
        <v>0</v>
      </c>
    </row>
    <row r="24" spans="1:10" ht="60" customHeight="1" x14ac:dyDescent="0.3">
      <c r="A24" s="19">
        <v>6</v>
      </c>
      <c r="B24" s="20" t="s">
        <v>336</v>
      </c>
      <c r="C24" s="98" t="s">
        <v>337</v>
      </c>
      <c r="D24" s="99"/>
      <c r="E24" s="99"/>
      <c r="F24" s="99"/>
      <c r="G24" s="99"/>
      <c r="H24" s="100"/>
      <c r="I24" s="19"/>
      <c r="J24" s="35" t="b">
        <f t="shared" si="0"/>
        <v>0</v>
      </c>
    </row>
    <row r="25" spans="1:10" ht="50.25" customHeight="1" x14ac:dyDescent="0.3">
      <c r="A25" s="19">
        <v>7</v>
      </c>
      <c r="B25" s="20" t="s">
        <v>338</v>
      </c>
      <c r="C25" s="98" t="s">
        <v>339</v>
      </c>
      <c r="D25" s="99"/>
      <c r="E25" s="99"/>
      <c r="F25" s="99"/>
      <c r="G25" s="99"/>
      <c r="H25" s="100"/>
      <c r="I25" s="19"/>
      <c r="J25" s="35" t="b">
        <f t="shared" si="0"/>
        <v>0</v>
      </c>
    </row>
    <row r="26" spans="1:10" ht="35.25" customHeight="1" x14ac:dyDescent="0.3">
      <c r="A26" s="19">
        <v>8</v>
      </c>
      <c r="B26" s="20" t="s">
        <v>340</v>
      </c>
      <c r="C26" s="98" t="s">
        <v>341</v>
      </c>
      <c r="D26" s="99"/>
      <c r="E26" s="99"/>
      <c r="F26" s="99"/>
      <c r="G26" s="99"/>
      <c r="H26" s="100"/>
      <c r="I26" s="19"/>
      <c r="J26" s="35" t="b">
        <f t="shared" si="0"/>
        <v>0</v>
      </c>
    </row>
    <row r="27" spans="1:10" ht="39" customHeight="1" x14ac:dyDescent="0.3">
      <c r="A27" s="19">
        <v>9</v>
      </c>
      <c r="B27" s="20" t="s">
        <v>342</v>
      </c>
      <c r="C27" s="98" t="s">
        <v>343</v>
      </c>
      <c r="D27" s="99"/>
      <c r="E27" s="99"/>
      <c r="F27" s="99"/>
      <c r="G27" s="99"/>
      <c r="H27" s="100"/>
      <c r="I27" s="19"/>
      <c r="J27" s="35" t="b">
        <f t="shared" si="0"/>
        <v>0</v>
      </c>
    </row>
    <row r="28" spans="1:10" ht="36" customHeight="1" x14ac:dyDescent="0.3">
      <c r="A28" s="19">
        <v>10</v>
      </c>
      <c r="B28" s="20" t="s">
        <v>344</v>
      </c>
      <c r="C28" s="98" t="s">
        <v>345</v>
      </c>
      <c r="D28" s="99"/>
      <c r="E28" s="99"/>
      <c r="F28" s="99"/>
      <c r="G28" s="99"/>
      <c r="H28" s="100"/>
      <c r="I28" s="19"/>
      <c r="J28" s="35" t="b">
        <f t="shared" si="0"/>
        <v>0</v>
      </c>
    </row>
    <row r="29" spans="1:10" ht="27.75" customHeight="1" x14ac:dyDescent="0.3">
      <c r="A29" s="19">
        <v>11</v>
      </c>
      <c r="B29" s="20" t="s">
        <v>346</v>
      </c>
      <c r="C29" s="113" t="s">
        <v>347</v>
      </c>
      <c r="D29" s="114"/>
      <c r="E29" s="114"/>
      <c r="F29" s="114"/>
      <c r="G29" s="114"/>
      <c r="H29" s="115"/>
      <c r="I29" s="19"/>
      <c r="J29" s="35" t="b">
        <f t="shared" si="0"/>
        <v>0</v>
      </c>
    </row>
    <row r="30" spans="1:10" ht="52.5" customHeight="1" x14ac:dyDescent="0.3">
      <c r="A30" s="19">
        <v>12</v>
      </c>
      <c r="B30" s="20" t="s">
        <v>348</v>
      </c>
      <c r="C30" s="98" t="s">
        <v>349</v>
      </c>
      <c r="D30" s="99"/>
      <c r="E30" s="99"/>
      <c r="F30" s="99"/>
      <c r="G30" s="99"/>
      <c r="H30" s="100"/>
      <c r="I30" s="19"/>
      <c r="J30" s="35" t="b">
        <f t="shared" si="0"/>
        <v>0</v>
      </c>
    </row>
    <row r="31" spans="1:10" ht="18.75" customHeight="1" x14ac:dyDescent="0.3">
      <c r="A31" s="19">
        <v>13</v>
      </c>
      <c r="B31" s="20" t="s">
        <v>350</v>
      </c>
      <c r="C31" s="98" t="s">
        <v>351</v>
      </c>
      <c r="D31" s="99"/>
      <c r="E31" s="99"/>
      <c r="F31" s="99"/>
      <c r="G31" s="99"/>
      <c r="H31" s="100"/>
      <c r="I31" s="19"/>
      <c r="J31" s="35" t="b">
        <f t="shared" si="0"/>
        <v>0</v>
      </c>
    </row>
    <row r="32" spans="1:10" ht="39" customHeight="1" x14ac:dyDescent="0.3">
      <c r="A32" s="19">
        <v>14</v>
      </c>
      <c r="B32" s="20" t="s">
        <v>352</v>
      </c>
      <c r="C32" s="98" t="s">
        <v>353</v>
      </c>
      <c r="D32" s="99"/>
      <c r="E32" s="99"/>
      <c r="F32" s="99"/>
      <c r="G32" s="99"/>
      <c r="H32" s="100"/>
      <c r="I32" s="19"/>
      <c r="J32" s="35" t="b">
        <f t="shared" si="0"/>
        <v>0</v>
      </c>
    </row>
    <row r="33" spans="1:10" ht="45.75" customHeight="1" x14ac:dyDescent="0.3">
      <c r="A33" s="19">
        <v>15</v>
      </c>
      <c r="B33" s="20" t="s">
        <v>354</v>
      </c>
      <c r="C33" s="98" t="s">
        <v>355</v>
      </c>
      <c r="D33" s="99"/>
      <c r="E33" s="99"/>
      <c r="F33" s="99"/>
      <c r="G33" s="99"/>
      <c r="H33" s="100"/>
      <c r="I33" s="19"/>
      <c r="J33" s="35" t="b">
        <f t="shared" si="0"/>
        <v>0</v>
      </c>
    </row>
    <row r="34" spans="1:10" ht="33" customHeight="1" x14ac:dyDescent="0.3">
      <c r="A34" s="19">
        <v>16</v>
      </c>
      <c r="B34" s="20" t="s">
        <v>356</v>
      </c>
      <c r="C34" s="98" t="s">
        <v>357</v>
      </c>
      <c r="D34" s="99"/>
      <c r="E34" s="99"/>
      <c r="F34" s="99"/>
      <c r="G34" s="99"/>
      <c r="H34" s="100"/>
      <c r="I34" s="19"/>
      <c r="J34" s="35" t="b">
        <f t="shared" si="0"/>
        <v>0</v>
      </c>
    </row>
    <row r="35" spans="1:10" ht="45.75" customHeight="1" x14ac:dyDescent="0.3">
      <c r="A35" s="19">
        <v>17</v>
      </c>
      <c r="B35" s="20" t="s">
        <v>358</v>
      </c>
      <c r="C35" s="98" t="s">
        <v>359</v>
      </c>
      <c r="D35" s="99"/>
      <c r="E35" s="99"/>
      <c r="F35" s="99"/>
      <c r="G35" s="99"/>
      <c r="H35" s="100"/>
      <c r="I35" s="19"/>
      <c r="J35" s="35" t="b">
        <f t="shared" si="0"/>
        <v>0</v>
      </c>
    </row>
    <row r="36" spans="1:10" ht="49.5" customHeight="1" x14ac:dyDescent="0.3">
      <c r="A36" s="19">
        <v>18</v>
      </c>
      <c r="B36" s="20" t="s">
        <v>360</v>
      </c>
      <c r="C36" s="98" t="s">
        <v>361</v>
      </c>
      <c r="D36" s="99"/>
      <c r="E36" s="99"/>
      <c r="F36" s="99"/>
      <c r="G36" s="99"/>
      <c r="H36" s="100"/>
      <c r="I36" s="19"/>
      <c r="J36" s="35" t="b">
        <f t="shared" si="0"/>
        <v>0</v>
      </c>
    </row>
    <row r="37" spans="1:10" ht="19.5" customHeight="1" x14ac:dyDescent="0.3">
      <c r="A37" s="19">
        <v>19</v>
      </c>
      <c r="B37" s="20" t="s">
        <v>362</v>
      </c>
      <c r="C37" s="98" t="s">
        <v>363</v>
      </c>
      <c r="D37" s="99"/>
      <c r="E37" s="99"/>
      <c r="F37" s="99"/>
      <c r="G37" s="99"/>
      <c r="H37" s="100"/>
      <c r="I37" s="19"/>
      <c r="J37" s="35" t="b">
        <f t="shared" si="0"/>
        <v>0</v>
      </c>
    </row>
    <row r="38" spans="1:10" ht="31.5" customHeight="1" x14ac:dyDescent="0.3">
      <c r="A38" s="19">
        <v>20</v>
      </c>
      <c r="B38" s="20" t="s">
        <v>364</v>
      </c>
      <c r="C38" s="98" t="s">
        <v>365</v>
      </c>
      <c r="D38" s="99"/>
      <c r="E38" s="99"/>
      <c r="F38" s="99"/>
      <c r="G38" s="99"/>
      <c r="H38" s="100"/>
      <c r="I38" s="19"/>
      <c r="J38" s="35" t="b">
        <f t="shared" si="0"/>
        <v>0</v>
      </c>
    </row>
    <row r="39" spans="1:10" ht="96" customHeight="1" x14ac:dyDescent="0.3">
      <c r="A39" s="19">
        <v>21</v>
      </c>
      <c r="B39" s="20" t="s">
        <v>366</v>
      </c>
      <c r="C39" s="98" t="s">
        <v>367</v>
      </c>
      <c r="D39" s="99"/>
      <c r="E39" s="99"/>
      <c r="F39" s="99"/>
      <c r="G39" s="99"/>
      <c r="H39" s="100"/>
      <c r="I39" s="19"/>
      <c r="J39" s="35" t="b">
        <f t="shared" si="0"/>
        <v>0</v>
      </c>
    </row>
    <row r="40" spans="1:10" ht="34.5" customHeight="1" x14ac:dyDescent="0.3">
      <c r="A40" s="19">
        <v>22</v>
      </c>
      <c r="B40" s="20" t="s">
        <v>368</v>
      </c>
      <c r="C40" s="98" t="s">
        <v>369</v>
      </c>
      <c r="D40" s="99"/>
      <c r="E40" s="99"/>
      <c r="F40" s="99"/>
      <c r="G40" s="99"/>
      <c r="H40" s="100"/>
      <c r="I40" s="19"/>
      <c r="J40" s="35" t="b">
        <f t="shared" si="0"/>
        <v>0</v>
      </c>
    </row>
    <row r="41" spans="1:10" ht="106.5" customHeight="1" x14ac:dyDescent="0.3">
      <c r="A41" s="19">
        <v>23</v>
      </c>
      <c r="B41" s="20" t="s">
        <v>370</v>
      </c>
      <c r="C41" s="98" t="s">
        <v>371</v>
      </c>
      <c r="D41" s="99"/>
      <c r="E41" s="99"/>
      <c r="F41" s="99"/>
      <c r="G41" s="99"/>
      <c r="H41" s="100"/>
      <c r="I41" s="19"/>
      <c r="J41" s="35" t="b">
        <f t="shared" si="0"/>
        <v>0</v>
      </c>
    </row>
    <row r="42" spans="1:10" ht="63.75" customHeight="1" x14ac:dyDescent="0.3">
      <c r="A42" s="19">
        <v>24</v>
      </c>
      <c r="B42" s="20" t="s">
        <v>372</v>
      </c>
      <c r="C42" s="98" t="s">
        <v>373</v>
      </c>
      <c r="D42" s="99"/>
      <c r="E42" s="99"/>
      <c r="F42" s="99"/>
      <c r="G42" s="99"/>
      <c r="H42" s="100"/>
      <c r="I42" s="19"/>
      <c r="J42" s="35" t="b">
        <f t="shared" si="0"/>
        <v>0</v>
      </c>
    </row>
    <row r="43" spans="1:10" ht="49.5" customHeight="1" x14ac:dyDescent="0.3">
      <c r="A43" s="19">
        <v>25</v>
      </c>
      <c r="B43" s="20" t="s">
        <v>374</v>
      </c>
      <c r="C43" s="98" t="s">
        <v>375</v>
      </c>
      <c r="D43" s="99"/>
      <c r="E43" s="99"/>
      <c r="F43" s="99"/>
      <c r="G43" s="99"/>
      <c r="H43" s="100"/>
      <c r="I43" s="19"/>
      <c r="J43" s="35" t="b">
        <f t="shared" si="0"/>
        <v>0</v>
      </c>
    </row>
    <row r="44" spans="1:10" ht="65.25" customHeight="1" x14ac:dyDescent="0.3">
      <c r="A44" s="19">
        <v>26</v>
      </c>
      <c r="B44" s="20" t="s">
        <v>376</v>
      </c>
      <c r="C44" s="98" t="s">
        <v>377</v>
      </c>
      <c r="D44" s="99"/>
      <c r="E44" s="99"/>
      <c r="F44" s="99"/>
      <c r="G44" s="99"/>
      <c r="H44" s="100"/>
      <c r="I44" s="19"/>
      <c r="J44" s="35" t="b">
        <f t="shared" si="0"/>
        <v>0</v>
      </c>
    </row>
    <row r="45" spans="1:10" ht="49.5" customHeight="1" x14ac:dyDescent="0.3">
      <c r="A45" s="19">
        <v>27</v>
      </c>
      <c r="B45" s="20" t="s">
        <v>378</v>
      </c>
      <c r="C45" s="98" t="s">
        <v>665</v>
      </c>
      <c r="D45" s="99"/>
      <c r="E45" s="99"/>
      <c r="F45" s="99"/>
      <c r="G45" s="99"/>
      <c r="H45" s="100"/>
      <c r="I45" s="19"/>
      <c r="J45" s="35" t="b">
        <f t="shared" si="0"/>
        <v>0</v>
      </c>
    </row>
    <row r="46" spans="1:10" ht="49.5" customHeight="1" x14ac:dyDescent="0.3">
      <c r="A46" s="19">
        <v>28</v>
      </c>
      <c r="B46" s="20" t="s">
        <v>379</v>
      </c>
      <c r="C46" s="98" t="s">
        <v>380</v>
      </c>
      <c r="D46" s="99"/>
      <c r="E46" s="99"/>
      <c r="F46" s="99"/>
      <c r="G46" s="99"/>
      <c r="H46" s="100"/>
      <c r="I46" s="19"/>
      <c r="J46" s="35" t="b">
        <f t="shared" si="0"/>
        <v>0</v>
      </c>
    </row>
    <row r="47" spans="1:10" ht="75" customHeight="1" x14ac:dyDescent="0.3">
      <c r="A47" s="19">
        <v>29</v>
      </c>
      <c r="B47" s="20" t="s">
        <v>381</v>
      </c>
      <c r="C47" s="98" t="s">
        <v>382</v>
      </c>
      <c r="D47" s="99"/>
      <c r="E47" s="99"/>
      <c r="F47" s="99"/>
      <c r="G47" s="99"/>
      <c r="H47" s="100"/>
      <c r="I47" s="19"/>
      <c r="J47" s="35" t="b">
        <f t="shared" si="0"/>
        <v>0</v>
      </c>
    </row>
    <row r="48" spans="1:10" ht="46.5" customHeight="1" x14ac:dyDescent="0.3">
      <c r="A48" s="19">
        <v>30</v>
      </c>
      <c r="B48" s="20" t="s">
        <v>383</v>
      </c>
      <c r="C48" s="98" t="s">
        <v>384</v>
      </c>
      <c r="D48" s="99"/>
      <c r="E48" s="99"/>
      <c r="F48" s="99"/>
      <c r="G48" s="99"/>
      <c r="H48" s="100"/>
      <c r="I48" s="19"/>
      <c r="J48" s="35" t="b">
        <f t="shared" si="0"/>
        <v>0</v>
      </c>
    </row>
    <row r="49" spans="1:10" ht="64.5" customHeight="1" x14ac:dyDescent="0.3">
      <c r="A49" s="19">
        <v>31</v>
      </c>
      <c r="B49" s="20" t="s">
        <v>385</v>
      </c>
      <c r="C49" s="98" t="s">
        <v>386</v>
      </c>
      <c r="D49" s="99"/>
      <c r="E49" s="99"/>
      <c r="F49" s="99"/>
      <c r="G49" s="99"/>
      <c r="H49" s="100"/>
      <c r="I49" s="19"/>
      <c r="J49" s="35" t="b">
        <f t="shared" si="0"/>
        <v>0</v>
      </c>
    </row>
    <row r="50" spans="1:10" ht="46.5" customHeight="1" x14ac:dyDescent="0.3">
      <c r="A50" s="19">
        <v>32</v>
      </c>
      <c r="B50" s="20" t="s">
        <v>387</v>
      </c>
      <c r="C50" s="98" t="s">
        <v>388</v>
      </c>
      <c r="D50" s="99"/>
      <c r="E50" s="99"/>
      <c r="F50" s="99"/>
      <c r="G50" s="99"/>
      <c r="H50" s="100"/>
      <c r="I50" s="19"/>
      <c r="J50" s="35" t="b">
        <f t="shared" si="0"/>
        <v>0</v>
      </c>
    </row>
    <row r="51" spans="1:10" ht="45.75" customHeight="1" x14ac:dyDescent="0.3">
      <c r="A51" s="19">
        <v>33</v>
      </c>
      <c r="B51" s="20" t="s">
        <v>389</v>
      </c>
      <c r="C51" s="98" t="s">
        <v>666</v>
      </c>
      <c r="D51" s="99"/>
      <c r="E51" s="99"/>
      <c r="F51" s="99"/>
      <c r="G51" s="99"/>
      <c r="H51" s="100"/>
      <c r="I51" s="19"/>
      <c r="J51" s="35" t="b">
        <f t="shared" si="0"/>
        <v>0</v>
      </c>
    </row>
    <row r="52" spans="1:10" ht="34.5" customHeight="1" x14ac:dyDescent="0.3">
      <c r="A52" s="19">
        <v>34</v>
      </c>
      <c r="B52" s="20" t="s">
        <v>390</v>
      </c>
      <c r="C52" s="98" t="s">
        <v>391</v>
      </c>
      <c r="D52" s="99"/>
      <c r="E52" s="99"/>
      <c r="F52" s="99"/>
      <c r="G52" s="99"/>
      <c r="H52" s="100"/>
      <c r="I52" s="19"/>
      <c r="J52" s="35" t="b">
        <f t="shared" si="0"/>
        <v>0</v>
      </c>
    </row>
    <row r="53" spans="1:10" ht="51" customHeight="1" x14ac:dyDescent="0.3">
      <c r="A53" s="19">
        <v>35</v>
      </c>
      <c r="B53" s="20" t="s">
        <v>392</v>
      </c>
      <c r="C53" s="98" t="s">
        <v>393</v>
      </c>
      <c r="D53" s="99"/>
      <c r="E53" s="99"/>
      <c r="F53" s="99"/>
      <c r="G53" s="99"/>
      <c r="H53" s="100"/>
      <c r="I53" s="19"/>
      <c r="J53" s="35" t="b">
        <f t="shared" si="0"/>
        <v>0</v>
      </c>
    </row>
    <row r="54" spans="1:10" ht="50.25" customHeight="1" x14ac:dyDescent="0.3">
      <c r="A54" s="19">
        <v>36</v>
      </c>
      <c r="B54" s="20" t="s">
        <v>394</v>
      </c>
      <c r="C54" s="98" t="s">
        <v>395</v>
      </c>
      <c r="D54" s="99"/>
      <c r="E54" s="99"/>
      <c r="F54" s="99"/>
      <c r="G54" s="99"/>
      <c r="H54" s="100"/>
      <c r="I54" s="19"/>
      <c r="J54" s="35" t="b">
        <f t="shared" si="0"/>
        <v>0</v>
      </c>
    </row>
    <row r="55" spans="1:10" ht="37.5" customHeight="1" x14ac:dyDescent="0.3">
      <c r="A55" s="19">
        <v>37</v>
      </c>
      <c r="B55" s="19" t="s">
        <v>396</v>
      </c>
      <c r="C55" s="104" t="s">
        <v>397</v>
      </c>
      <c r="D55" s="104"/>
      <c r="E55" s="104"/>
      <c r="F55" s="104"/>
      <c r="G55" s="104"/>
      <c r="H55" s="104"/>
      <c r="I55" s="19"/>
      <c r="J55" s="35" t="b">
        <f t="shared" si="0"/>
        <v>0</v>
      </c>
    </row>
    <row r="56" spans="1:10" ht="15.6" x14ac:dyDescent="0.3">
      <c r="J56" s="37"/>
    </row>
    <row r="57" spans="1:10" ht="15.6" x14ac:dyDescent="0.3">
      <c r="J57" s="37"/>
    </row>
    <row r="58" spans="1:10" ht="15.6" x14ac:dyDescent="0.3">
      <c r="J58" s="37"/>
    </row>
    <row r="59" spans="1:10" x14ac:dyDescent="0.3">
      <c r="J59" s="56"/>
    </row>
    <row r="60" spans="1:10" ht="15.6" x14ac:dyDescent="0.3">
      <c r="J60" s="37"/>
    </row>
    <row r="61" spans="1:10" ht="15.6" x14ac:dyDescent="0.3">
      <c r="J61" s="37"/>
    </row>
    <row r="62" spans="1:10" ht="15.6" x14ac:dyDescent="0.3">
      <c r="J62" s="37"/>
    </row>
    <row r="63" spans="1:10" ht="15.6" x14ac:dyDescent="0.3">
      <c r="J63" s="37"/>
    </row>
    <row r="65" spans="10:10" ht="15.6" x14ac:dyDescent="0.3">
      <c r="J65" s="37"/>
    </row>
    <row r="66" spans="10:10" ht="15.6" x14ac:dyDescent="0.3">
      <c r="J66" s="37"/>
    </row>
    <row r="67" spans="10:10" ht="15.6" x14ac:dyDescent="0.3">
      <c r="J67" s="37"/>
    </row>
    <row r="68" spans="10:10" ht="15.6" x14ac:dyDescent="0.3">
      <c r="J68" s="37"/>
    </row>
    <row r="69" spans="10:10" ht="15.6" x14ac:dyDescent="0.3">
      <c r="J69" s="37"/>
    </row>
    <row r="70" spans="10:10" ht="15.6" x14ac:dyDescent="0.3">
      <c r="J70" s="37"/>
    </row>
    <row r="71" spans="10:10" ht="15.6" x14ac:dyDescent="0.3">
      <c r="J71" s="37"/>
    </row>
    <row r="72" spans="10:10" x14ac:dyDescent="0.3">
      <c r="J72" s="56"/>
    </row>
    <row r="73" spans="10:10" ht="15.6" x14ac:dyDescent="0.3">
      <c r="J73" s="37"/>
    </row>
    <row r="74" spans="10:10" ht="15.6" x14ac:dyDescent="0.3">
      <c r="J74" s="37"/>
    </row>
    <row r="75" spans="10:10" ht="15.6" x14ac:dyDescent="0.3">
      <c r="J75" s="37"/>
    </row>
    <row r="76" spans="10:10" ht="15.6" x14ac:dyDescent="0.3">
      <c r="J76" s="37"/>
    </row>
    <row r="77" spans="10:10" ht="15.6" x14ac:dyDescent="0.3">
      <c r="J77" s="37"/>
    </row>
    <row r="78" spans="10:10" ht="15.6" x14ac:dyDescent="0.3">
      <c r="J78" s="37"/>
    </row>
    <row r="79" spans="10:10" ht="15.6" x14ac:dyDescent="0.3">
      <c r="J79" s="37"/>
    </row>
    <row r="80" spans="10:10" ht="15.6" x14ac:dyDescent="0.3">
      <c r="J80" s="37"/>
    </row>
    <row r="81" spans="10:10" ht="15.6" x14ac:dyDescent="0.3">
      <c r="J81" s="37"/>
    </row>
    <row r="82" spans="10:10" x14ac:dyDescent="0.3">
      <c r="J82" s="56"/>
    </row>
    <row r="83" spans="10:10" x14ac:dyDescent="0.3">
      <c r="J83" s="56"/>
    </row>
    <row r="84" spans="10:10" x14ac:dyDescent="0.3">
      <c r="J84" s="56"/>
    </row>
    <row r="85" spans="10:10" x14ac:dyDescent="0.3">
      <c r="J85" s="56"/>
    </row>
    <row r="86" spans="10:10" x14ac:dyDescent="0.3">
      <c r="J86" s="56"/>
    </row>
    <row r="87" spans="10:10" x14ac:dyDescent="0.3">
      <c r="J87" s="56"/>
    </row>
    <row r="88" spans="10:10" x14ac:dyDescent="0.3">
      <c r="J88" s="56"/>
    </row>
    <row r="89" spans="10:10" x14ac:dyDescent="0.3">
      <c r="J89" s="56"/>
    </row>
    <row r="90" spans="10:10" x14ac:dyDescent="0.3">
      <c r="J90" s="56"/>
    </row>
    <row r="91" spans="10:10" x14ac:dyDescent="0.3">
      <c r="J91" s="56"/>
    </row>
    <row r="92" spans="10:10" x14ac:dyDescent="0.3">
      <c r="J92" s="56"/>
    </row>
    <row r="93" spans="10:10" x14ac:dyDescent="0.3">
      <c r="J93" s="56"/>
    </row>
    <row r="94" spans="10:10" x14ac:dyDescent="0.3">
      <c r="J94" s="56"/>
    </row>
    <row r="95" spans="10:10" x14ac:dyDescent="0.3">
      <c r="J95" s="56"/>
    </row>
    <row r="96" spans="10:10" x14ac:dyDescent="0.3">
      <c r="J96" s="56"/>
    </row>
    <row r="97" spans="10:10" x14ac:dyDescent="0.3">
      <c r="J97" s="56"/>
    </row>
    <row r="98" spans="10:10" x14ac:dyDescent="0.3">
      <c r="J98" s="56"/>
    </row>
    <row r="99" spans="10:10" x14ac:dyDescent="0.3">
      <c r="J99" s="56"/>
    </row>
    <row r="100" spans="10:10" x14ac:dyDescent="0.3">
      <c r="J100" s="56"/>
    </row>
    <row r="101" spans="10:10" x14ac:dyDescent="0.3">
      <c r="J101" s="56"/>
    </row>
    <row r="102" spans="10:10" x14ac:dyDescent="0.3">
      <c r="J102" s="56"/>
    </row>
    <row r="103" spans="10:10" x14ac:dyDescent="0.3">
      <c r="J103" s="56"/>
    </row>
    <row r="104" spans="10:10" x14ac:dyDescent="0.3">
      <c r="J104" s="56"/>
    </row>
    <row r="105" spans="10:10" x14ac:dyDescent="0.3">
      <c r="J105" s="56"/>
    </row>
    <row r="106" spans="10:10" x14ac:dyDescent="0.3">
      <c r="J106" s="56"/>
    </row>
    <row r="107" spans="10:10" x14ac:dyDescent="0.3">
      <c r="J107" s="56"/>
    </row>
    <row r="108" spans="10:10" x14ac:dyDescent="0.3">
      <c r="J108" s="56"/>
    </row>
    <row r="109" spans="10:10" x14ac:dyDescent="0.3">
      <c r="J109" s="56"/>
    </row>
    <row r="110" spans="10:10" x14ac:dyDescent="0.3">
      <c r="J110" s="56"/>
    </row>
    <row r="111" spans="10:10" x14ac:dyDescent="0.3">
      <c r="J111" s="56"/>
    </row>
    <row r="112" spans="10:10" x14ac:dyDescent="0.3">
      <c r="J112" s="56"/>
    </row>
    <row r="113" spans="10:10" x14ac:dyDescent="0.3">
      <c r="J113" s="56"/>
    </row>
    <row r="114" spans="10:10" x14ac:dyDescent="0.3">
      <c r="J114" s="56"/>
    </row>
    <row r="115" spans="10:10" x14ac:dyDescent="0.3">
      <c r="J115" s="56"/>
    </row>
    <row r="116" spans="10:10" x14ac:dyDescent="0.3">
      <c r="J116" s="56"/>
    </row>
    <row r="117" spans="10:10" x14ac:dyDescent="0.3">
      <c r="J117" s="56"/>
    </row>
    <row r="118" spans="10:10" x14ac:dyDescent="0.3">
      <c r="J118" s="56"/>
    </row>
    <row r="119" spans="10:10" x14ac:dyDescent="0.3">
      <c r="J119" s="56"/>
    </row>
    <row r="120" spans="10:10" x14ac:dyDescent="0.3">
      <c r="J120" s="56"/>
    </row>
    <row r="121" spans="10:10" x14ac:dyDescent="0.3">
      <c r="J121" s="56"/>
    </row>
    <row r="122" spans="10:10" x14ac:dyDescent="0.3">
      <c r="J122" s="56"/>
    </row>
    <row r="123" spans="10:10" x14ac:dyDescent="0.3">
      <c r="J123" s="56"/>
    </row>
    <row r="124" spans="10:10" x14ac:dyDescent="0.3">
      <c r="J124" s="56"/>
    </row>
    <row r="125" spans="10:10" x14ac:dyDescent="0.3">
      <c r="J125" s="56"/>
    </row>
    <row r="126" spans="10:10" x14ac:dyDescent="0.3">
      <c r="J126" s="56"/>
    </row>
    <row r="127" spans="10:10" x14ac:dyDescent="0.3">
      <c r="J127" s="56"/>
    </row>
    <row r="128" spans="10:10" x14ac:dyDescent="0.3">
      <c r="J128" s="56"/>
    </row>
    <row r="129" spans="10:10" x14ac:dyDescent="0.3">
      <c r="J129" s="56"/>
    </row>
    <row r="130" spans="10:10" x14ac:dyDescent="0.3">
      <c r="J130" s="56"/>
    </row>
  </sheetData>
  <mergeCells count="52">
    <mergeCell ref="C55:H55"/>
    <mergeCell ref="C48:H48"/>
    <mergeCell ref="C49:H49"/>
    <mergeCell ref="C50:H50"/>
    <mergeCell ref="C51:H51"/>
    <mergeCell ref="C52:H52"/>
    <mergeCell ref="C53:H53"/>
    <mergeCell ref="C44:H44"/>
    <mergeCell ref="C45:H45"/>
    <mergeCell ref="A1:J1"/>
    <mergeCell ref="A2:J4"/>
    <mergeCell ref="C54:H54"/>
    <mergeCell ref="C47:H47"/>
    <mergeCell ref="C36:H36"/>
    <mergeCell ref="C37:H37"/>
    <mergeCell ref="C38:H38"/>
    <mergeCell ref="C39:H39"/>
    <mergeCell ref="C40:H40"/>
    <mergeCell ref="C46:H46"/>
    <mergeCell ref="C35:H35"/>
    <mergeCell ref="C24:H24"/>
    <mergeCell ref="C25:H25"/>
    <mergeCell ref="C26:H26"/>
    <mergeCell ref="C41:H41"/>
    <mergeCell ref="C42:H42"/>
    <mergeCell ref="C27:H27"/>
    <mergeCell ref="C28:H28"/>
    <mergeCell ref="C29:H29"/>
    <mergeCell ref="C30:H30"/>
    <mergeCell ref="C31:H31"/>
    <mergeCell ref="C43:H43"/>
    <mergeCell ref="C23:H23"/>
    <mergeCell ref="C12:H12"/>
    <mergeCell ref="C13:H13"/>
    <mergeCell ref="C14:H14"/>
    <mergeCell ref="C15:H15"/>
    <mergeCell ref="C16:H16"/>
    <mergeCell ref="C17:H17"/>
    <mergeCell ref="C19:H19"/>
    <mergeCell ref="C20:H20"/>
    <mergeCell ref="C21:H21"/>
    <mergeCell ref="C22:H22"/>
    <mergeCell ref="C18:H18"/>
    <mergeCell ref="C32:H32"/>
    <mergeCell ref="C33:H33"/>
    <mergeCell ref="C34:H34"/>
    <mergeCell ref="A6:J6"/>
    <mergeCell ref="C11:H11"/>
    <mergeCell ref="C8:H8"/>
    <mergeCell ref="C9:H9"/>
    <mergeCell ref="C10:H10"/>
    <mergeCell ref="C7:H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Lista!$C$2:$C$5</xm:f>
          </x14:formula1>
          <xm:sqref>I8:I17 I19:I55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3"/>
  <sheetViews>
    <sheetView workbookViewId="0">
      <selection activeCell="A2" sqref="A2:J4"/>
    </sheetView>
  </sheetViews>
  <sheetFormatPr baseColWidth="10" defaultColWidth="10.77734375" defaultRowHeight="15" x14ac:dyDescent="0.3"/>
  <cols>
    <col min="1" max="1" width="9.77734375" style="48" customWidth="1"/>
    <col min="2" max="2" width="15.77734375" style="48" customWidth="1"/>
    <col min="3" max="3" width="8.5546875" style="45" customWidth="1"/>
    <col min="4" max="4" width="8" style="45" customWidth="1"/>
    <col min="5" max="5" width="7" style="45" customWidth="1"/>
    <col min="6" max="6" width="6.21875" style="45" customWidth="1"/>
    <col min="7" max="7" width="13.77734375" style="45" customWidth="1"/>
    <col min="8" max="8" width="14.77734375" style="45" customWidth="1"/>
    <col min="9" max="9" width="18.77734375" style="48" customWidth="1"/>
    <col min="10" max="10" width="16.77734375" style="36" customWidth="1"/>
    <col min="11" max="16384" width="10.77734375" style="45"/>
  </cols>
  <sheetData>
    <row r="1" spans="1:11" x14ac:dyDescent="0.3">
      <c r="A1" s="116"/>
      <c r="B1" s="116"/>
      <c r="C1" s="116"/>
      <c r="D1" s="116"/>
      <c r="E1" s="116"/>
      <c r="F1" s="116"/>
      <c r="G1" s="116"/>
      <c r="H1" s="116"/>
      <c r="I1" s="116"/>
      <c r="J1" s="116"/>
    </row>
    <row r="2" spans="1:11" x14ac:dyDescent="0.3">
      <c r="A2" s="119" t="s">
        <v>753</v>
      </c>
      <c r="B2" s="119"/>
      <c r="C2" s="119"/>
      <c r="D2" s="119"/>
      <c r="E2" s="119"/>
      <c r="F2" s="119"/>
      <c r="G2" s="119"/>
      <c r="H2" s="119"/>
      <c r="I2" s="119"/>
      <c r="J2" s="119"/>
    </row>
    <row r="3" spans="1:11" x14ac:dyDescent="0.3">
      <c r="A3" s="119"/>
      <c r="B3" s="119"/>
      <c r="C3" s="119"/>
      <c r="D3" s="119"/>
      <c r="E3" s="119"/>
      <c r="F3" s="119"/>
      <c r="G3" s="119"/>
      <c r="H3" s="119"/>
      <c r="I3" s="119"/>
      <c r="J3" s="119"/>
    </row>
    <row r="4" spans="1:11" x14ac:dyDescent="0.3">
      <c r="A4" s="119"/>
      <c r="B4" s="119"/>
      <c r="C4" s="119"/>
      <c r="D4" s="119"/>
      <c r="E4" s="119"/>
      <c r="F4" s="119"/>
      <c r="G4" s="119"/>
      <c r="H4" s="119"/>
      <c r="I4" s="119"/>
      <c r="J4" s="119"/>
    </row>
    <row r="5" spans="1:11" ht="59.25" customHeight="1" x14ac:dyDescent="0.25">
      <c r="A5" s="111" t="s">
        <v>11</v>
      </c>
      <c r="B5" s="111"/>
      <c r="C5" s="111"/>
      <c r="D5" s="111"/>
      <c r="E5" s="111"/>
      <c r="F5" s="111"/>
      <c r="G5" s="111"/>
      <c r="H5" s="111"/>
      <c r="I5" s="111"/>
      <c r="J5" s="111"/>
      <c r="K5" s="44"/>
    </row>
    <row r="6" spans="1:11" ht="18" customHeight="1" x14ac:dyDescent="0.3">
      <c r="A6" s="46" t="s">
        <v>13</v>
      </c>
      <c r="B6" s="47" t="s">
        <v>14</v>
      </c>
      <c r="C6" s="118" t="s">
        <v>731</v>
      </c>
      <c r="D6" s="118"/>
      <c r="E6" s="118"/>
      <c r="F6" s="118"/>
      <c r="G6" s="118"/>
      <c r="H6" s="118"/>
      <c r="I6" s="54" t="s">
        <v>620</v>
      </c>
      <c r="J6" s="55" t="s">
        <v>621</v>
      </c>
    </row>
    <row r="7" spans="1:11" ht="48" customHeight="1" x14ac:dyDescent="0.3">
      <c r="A7" s="19">
        <v>1</v>
      </c>
      <c r="B7" s="20" t="s">
        <v>398</v>
      </c>
      <c r="C7" s="101" t="s">
        <v>399</v>
      </c>
      <c r="D7" s="102"/>
      <c r="E7" s="102"/>
      <c r="F7" s="102"/>
      <c r="G7" s="102"/>
      <c r="H7" s="103"/>
      <c r="I7" s="19"/>
      <c r="J7" s="35" t="b">
        <f>IF(I7="No cumple",0,IF(I7="No aplica",2,IF(I7="Cumple totalmente",2,IF(I7="Cumple parcialmente",1))))</f>
        <v>0</v>
      </c>
    </row>
    <row r="8" spans="1:11" ht="28.5" customHeight="1" x14ac:dyDescent="0.3">
      <c r="A8" s="46" t="s">
        <v>13</v>
      </c>
      <c r="B8" s="47" t="s">
        <v>14</v>
      </c>
      <c r="C8" s="118" t="s">
        <v>732</v>
      </c>
      <c r="D8" s="118"/>
      <c r="E8" s="118"/>
      <c r="F8" s="118"/>
      <c r="G8" s="118"/>
      <c r="H8" s="118"/>
      <c r="I8" s="54" t="s">
        <v>620</v>
      </c>
      <c r="J8" s="55" t="s">
        <v>621</v>
      </c>
    </row>
    <row r="9" spans="1:11" ht="45.75" customHeight="1" x14ac:dyDescent="0.3">
      <c r="A9" s="19">
        <v>2</v>
      </c>
      <c r="B9" s="20" t="s">
        <v>400</v>
      </c>
      <c r="C9" s="101" t="s">
        <v>401</v>
      </c>
      <c r="D9" s="102"/>
      <c r="E9" s="102"/>
      <c r="F9" s="102"/>
      <c r="G9" s="102"/>
      <c r="H9" s="103"/>
      <c r="I9" s="19"/>
      <c r="J9" s="35" t="b">
        <f t="shared" ref="J9:J48" si="0">IF(I9="No cumple",0,IF(I9="No aplica",2,IF(I9="Cumple totalmente",2,IF(I9="Cumple parcialmente",1))))</f>
        <v>0</v>
      </c>
    </row>
    <row r="10" spans="1:11" ht="49.5" customHeight="1" x14ac:dyDescent="0.3">
      <c r="A10" s="19">
        <v>3</v>
      </c>
      <c r="B10" s="20" t="s">
        <v>400</v>
      </c>
      <c r="C10" s="98" t="s">
        <v>402</v>
      </c>
      <c r="D10" s="99"/>
      <c r="E10" s="99"/>
      <c r="F10" s="99"/>
      <c r="G10" s="99"/>
      <c r="H10" s="100"/>
      <c r="I10" s="19"/>
      <c r="J10" s="35" t="b">
        <f t="shared" si="0"/>
        <v>0</v>
      </c>
    </row>
    <row r="11" spans="1:11" ht="18" customHeight="1" x14ac:dyDescent="0.3">
      <c r="A11" s="46"/>
      <c r="B11" s="47"/>
      <c r="C11" s="118" t="s">
        <v>733</v>
      </c>
      <c r="D11" s="118"/>
      <c r="E11" s="118"/>
      <c r="F11" s="118"/>
      <c r="G11" s="118"/>
      <c r="H11" s="118"/>
      <c r="I11" s="54" t="s">
        <v>620</v>
      </c>
      <c r="J11" s="55" t="s">
        <v>621</v>
      </c>
    </row>
    <row r="12" spans="1:11" ht="22.5" customHeight="1" x14ac:dyDescent="0.3">
      <c r="A12" s="19">
        <v>4</v>
      </c>
      <c r="B12" s="20" t="s">
        <v>403</v>
      </c>
      <c r="C12" s="98" t="s">
        <v>404</v>
      </c>
      <c r="D12" s="99"/>
      <c r="E12" s="99"/>
      <c r="F12" s="99"/>
      <c r="G12" s="99"/>
      <c r="H12" s="100"/>
      <c r="I12" s="19"/>
      <c r="J12" s="35" t="b">
        <f t="shared" si="0"/>
        <v>0</v>
      </c>
    </row>
    <row r="13" spans="1:11" ht="63" customHeight="1" x14ac:dyDescent="0.3">
      <c r="A13" s="19">
        <v>5</v>
      </c>
      <c r="B13" s="20" t="s">
        <v>403</v>
      </c>
      <c r="C13" s="98" t="s">
        <v>405</v>
      </c>
      <c r="D13" s="99"/>
      <c r="E13" s="99"/>
      <c r="F13" s="99"/>
      <c r="G13" s="99"/>
      <c r="H13" s="100"/>
      <c r="I13" s="19"/>
      <c r="J13" s="35" t="b">
        <f t="shared" si="0"/>
        <v>0</v>
      </c>
    </row>
    <row r="14" spans="1:11" ht="48" customHeight="1" x14ac:dyDescent="0.3">
      <c r="A14" s="19">
        <v>6</v>
      </c>
      <c r="B14" s="20" t="s">
        <v>406</v>
      </c>
      <c r="C14" s="98" t="s">
        <v>407</v>
      </c>
      <c r="D14" s="99"/>
      <c r="E14" s="99"/>
      <c r="F14" s="99"/>
      <c r="G14" s="99"/>
      <c r="H14" s="100"/>
      <c r="I14" s="19"/>
      <c r="J14" s="35" t="b">
        <f t="shared" si="0"/>
        <v>0</v>
      </c>
    </row>
    <row r="15" spans="1:11" ht="75.75" customHeight="1" x14ac:dyDescent="0.3">
      <c r="A15" s="19">
        <v>7</v>
      </c>
      <c r="B15" s="20" t="s">
        <v>408</v>
      </c>
      <c r="C15" s="98" t="s">
        <v>409</v>
      </c>
      <c r="D15" s="99"/>
      <c r="E15" s="99"/>
      <c r="F15" s="99"/>
      <c r="G15" s="99"/>
      <c r="H15" s="100"/>
      <c r="I15" s="19"/>
      <c r="J15" s="35" t="b">
        <f t="shared" si="0"/>
        <v>0</v>
      </c>
    </row>
    <row r="16" spans="1:11" ht="158.25" customHeight="1" x14ac:dyDescent="0.3">
      <c r="A16" s="19">
        <v>8</v>
      </c>
      <c r="B16" s="20" t="s">
        <v>410</v>
      </c>
      <c r="C16" s="98" t="s">
        <v>411</v>
      </c>
      <c r="D16" s="99"/>
      <c r="E16" s="99"/>
      <c r="F16" s="99"/>
      <c r="G16" s="99"/>
      <c r="H16" s="100"/>
      <c r="I16" s="19"/>
      <c r="J16" s="35" t="b">
        <f t="shared" si="0"/>
        <v>0</v>
      </c>
    </row>
    <row r="17" spans="1:10" ht="63" customHeight="1" x14ac:dyDescent="0.3">
      <c r="A17" s="19">
        <v>9</v>
      </c>
      <c r="B17" s="20" t="s">
        <v>410</v>
      </c>
      <c r="C17" s="98" t="s">
        <v>412</v>
      </c>
      <c r="D17" s="99"/>
      <c r="E17" s="99"/>
      <c r="F17" s="99"/>
      <c r="G17" s="99"/>
      <c r="H17" s="100"/>
      <c r="I17" s="19"/>
      <c r="J17" s="35" t="b">
        <f t="shared" si="0"/>
        <v>0</v>
      </c>
    </row>
    <row r="18" spans="1:10" ht="18" customHeight="1" x14ac:dyDescent="0.3">
      <c r="A18" s="46"/>
      <c r="B18" s="47"/>
      <c r="C18" s="118" t="s">
        <v>734</v>
      </c>
      <c r="D18" s="118"/>
      <c r="E18" s="118"/>
      <c r="F18" s="118"/>
      <c r="G18" s="118"/>
      <c r="H18" s="118"/>
      <c r="I18" s="54" t="s">
        <v>620</v>
      </c>
      <c r="J18" s="55" t="s">
        <v>621</v>
      </c>
    </row>
    <row r="19" spans="1:10" ht="90.75" customHeight="1" x14ac:dyDescent="0.3">
      <c r="A19" s="19">
        <v>10</v>
      </c>
      <c r="B19" s="20" t="s">
        <v>413</v>
      </c>
      <c r="C19" s="98" t="s">
        <v>414</v>
      </c>
      <c r="D19" s="99"/>
      <c r="E19" s="99"/>
      <c r="F19" s="99"/>
      <c r="G19" s="99"/>
      <c r="H19" s="100"/>
      <c r="I19" s="19"/>
      <c r="J19" s="35" t="b">
        <f t="shared" si="0"/>
        <v>0</v>
      </c>
    </row>
    <row r="20" spans="1:10" ht="33.75" customHeight="1" x14ac:dyDescent="0.3">
      <c r="A20" s="19">
        <v>11</v>
      </c>
      <c r="B20" s="20" t="s">
        <v>413</v>
      </c>
      <c r="C20" s="98" t="s">
        <v>415</v>
      </c>
      <c r="D20" s="99"/>
      <c r="E20" s="99"/>
      <c r="F20" s="99"/>
      <c r="G20" s="99"/>
      <c r="H20" s="100"/>
      <c r="I20" s="19"/>
      <c r="J20" s="35" t="b">
        <f t="shared" si="0"/>
        <v>0</v>
      </c>
    </row>
    <row r="21" spans="1:10" ht="90.75" customHeight="1" x14ac:dyDescent="0.3">
      <c r="A21" s="19">
        <v>12</v>
      </c>
      <c r="B21" s="20" t="s">
        <v>413</v>
      </c>
      <c r="C21" s="98" t="s">
        <v>416</v>
      </c>
      <c r="D21" s="99"/>
      <c r="E21" s="99"/>
      <c r="F21" s="99"/>
      <c r="G21" s="99"/>
      <c r="H21" s="100"/>
      <c r="I21" s="19"/>
      <c r="J21" s="35" t="b">
        <f t="shared" si="0"/>
        <v>0</v>
      </c>
    </row>
    <row r="22" spans="1:10" ht="79.5" customHeight="1" x14ac:dyDescent="0.3">
      <c r="A22" s="19">
        <v>13</v>
      </c>
      <c r="B22" s="20" t="s">
        <v>413</v>
      </c>
      <c r="C22" s="98" t="s">
        <v>417</v>
      </c>
      <c r="D22" s="99"/>
      <c r="E22" s="99"/>
      <c r="F22" s="99"/>
      <c r="G22" s="99"/>
      <c r="H22" s="100"/>
      <c r="I22" s="19"/>
      <c r="J22" s="35" t="b">
        <f t="shared" si="0"/>
        <v>0</v>
      </c>
    </row>
    <row r="23" spans="1:10" ht="78.75" customHeight="1" x14ac:dyDescent="0.3">
      <c r="A23" s="19">
        <v>14</v>
      </c>
      <c r="B23" s="20" t="s">
        <v>418</v>
      </c>
      <c r="C23" s="98" t="s">
        <v>662</v>
      </c>
      <c r="D23" s="99"/>
      <c r="E23" s="99"/>
      <c r="F23" s="99"/>
      <c r="G23" s="99"/>
      <c r="H23" s="100"/>
      <c r="I23" s="19"/>
      <c r="J23" s="35" t="b">
        <f t="shared" si="0"/>
        <v>0</v>
      </c>
    </row>
    <row r="24" spans="1:10" ht="96" customHeight="1" x14ac:dyDescent="0.3">
      <c r="A24" s="19">
        <v>15</v>
      </c>
      <c r="B24" s="20" t="s">
        <v>419</v>
      </c>
      <c r="C24" s="98" t="s">
        <v>420</v>
      </c>
      <c r="D24" s="99"/>
      <c r="E24" s="99"/>
      <c r="F24" s="99"/>
      <c r="G24" s="99"/>
      <c r="H24" s="100"/>
      <c r="I24" s="19"/>
      <c r="J24" s="35" t="b">
        <f t="shared" si="0"/>
        <v>0</v>
      </c>
    </row>
    <row r="25" spans="1:10" ht="64.5" customHeight="1" x14ac:dyDescent="0.3">
      <c r="A25" s="19">
        <v>16</v>
      </c>
      <c r="B25" s="20" t="s">
        <v>421</v>
      </c>
      <c r="C25" s="98" t="s">
        <v>422</v>
      </c>
      <c r="D25" s="99"/>
      <c r="E25" s="99"/>
      <c r="F25" s="99"/>
      <c r="G25" s="99"/>
      <c r="H25" s="100"/>
      <c r="I25" s="19"/>
      <c r="J25" s="35" t="b">
        <f t="shared" si="0"/>
        <v>0</v>
      </c>
    </row>
    <row r="26" spans="1:10" ht="45" customHeight="1" x14ac:dyDescent="0.3">
      <c r="A26" s="19">
        <v>17</v>
      </c>
      <c r="B26" s="20" t="s">
        <v>423</v>
      </c>
      <c r="C26" s="98" t="s">
        <v>424</v>
      </c>
      <c r="D26" s="99"/>
      <c r="E26" s="99"/>
      <c r="F26" s="99"/>
      <c r="G26" s="99"/>
      <c r="H26" s="100"/>
      <c r="I26" s="19"/>
      <c r="J26" s="35" t="b">
        <f t="shared" si="0"/>
        <v>0</v>
      </c>
    </row>
    <row r="27" spans="1:10" ht="48" customHeight="1" x14ac:dyDescent="0.3">
      <c r="A27" s="19">
        <v>18</v>
      </c>
      <c r="B27" s="20" t="s">
        <v>425</v>
      </c>
      <c r="C27" s="98" t="s">
        <v>426</v>
      </c>
      <c r="D27" s="99"/>
      <c r="E27" s="99"/>
      <c r="F27" s="99"/>
      <c r="G27" s="99"/>
      <c r="H27" s="100"/>
      <c r="I27" s="19"/>
      <c r="J27" s="35" t="b">
        <f t="shared" si="0"/>
        <v>0</v>
      </c>
    </row>
    <row r="28" spans="1:10" ht="78.75" customHeight="1" x14ac:dyDescent="0.3">
      <c r="A28" s="19">
        <v>19</v>
      </c>
      <c r="B28" s="20" t="s">
        <v>427</v>
      </c>
      <c r="C28" s="98" t="s">
        <v>428</v>
      </c>
      <c r="D28" s="99"/>
      <c r="E28" s="99"/>
      <c r="F28" s="99"/>
      <c r="G28" s="99"/>
      <c r="H28" s="100"/>
      <c r="I28" s="19"/>
      <c r="J28" s="35" t="b">
        <f t="shared" si="0"/>
        <v>0</v>
      </c>
    </row>
    <row r="29" spans="1:10" ht="64.5" customHeight="1" x14ac:dyDescent="0.3">
      <c r="A29" s="19">
        <v>20</v>
      </c>
      <c r="B29" s="20" t="s">
        <v>429</v>
      </c>
      <c r="C29" s="98" t="s">
        <v>430</v>
      </c>
      <c r="D29" s="99"/>
      <c r="E29" s="99"/>
      <c r="F29" s="99"/>
      <c r="G29" s="99"/>
      <c r="H29" s="100"/>
      <c r="I29" s="19"/>
      <c r="J29" s="35" t="b">
        <f t="shared" si="0"/>
        <v>0</v>
      </c>
    </row>
    <row r="30" spans="1:10" ht="93.75" customHeight="1" x14ac:dyDescent="0.3">
      <c r="A30" s="19">
        <v>21</v>
      </c>
      <c r="B30" s="20" t="s">
        <v>431</v>
      </c>
      <c r="C30" s="98" t="s">
        <v>663</v>
      </c>
      <c r="D30" s="99"/>
      <c r="E30" s="99"/>
      <c r="F30" s="99"/>
      <c r="G30" s="99"/>
      <c r="H30" s="100"/>
      <c r="I30" s="19"/>
      <c r="J30" s="35" t="b">
        <f t="shared" si="0"/>
        <v>0</v>
      </c>
    </row>
    <row r="31" spans="1:10" ht="44.25" customHeight="1" x14ac:dyDescent="0.3">
      <c r="A31" s="19">
        <v>22</v>
      </c>
      <c r="B31" s="20" t="s">
        <v>432</v>
      </c>
      <c r="C31" s="98" t="s">
        <v>433</v>
      </c>
      <c r="D31" s="99"/>
      <c r="E31" s="99"/>
      <c r="F31" s="99"/>
      <c r="G31" s="99"/>
      <c r="H31" s="100"/>
      <c r="I31" s="19"/>
      <c r="J31" s="35" t="b">
        <f t="shared" si="0"/>
        <v>0</v>
      </c>
    </row>
    <row r="32" spans="1:10" ht="45.75" customHeight="1" x14ac:dyDescent="0.3">
      <c r="A32" s="19">
        <v>23</v>
      </c>
      <c r="B32" s="20" t="s">
        <v>434</v>
      </c>
      <c r="C32" s="98" t="s">
        <v>435</v>
      </c>
      <c r="D32" s="99"/>
      <c r="E32" s="99"/>
      <c r="F32" s="99"/>
      <c r="G32" s="99"/>
      <c r="H32" s="100"/>
      <c r="I32" s="19"/>
      <c r="J32" s="35" t="b">
        <f t="shared" si="0"/>
        <v>0</v>
      </c>
    </row>
    <row r="33" spans="1:10" ht="47.25" customHeight="1" x14ac:dyDescent="0.3">
      <c r="A33" s="19">
        <v>24</v>
      </c>
      <c r="B33" s="20" t="s">
        <v>436</v>
      </c>
      <c r="C33" s="98" t="s">
        <v>437</v>
      </c>
      <c r="D33" s="99"/>
      <c r="E33" s="99"/>
      <c r="F33" s="99"/>
      <c r="G33" s="99"/>
      <c r="H33" s="100"/>
      <c r="I33" s="19"/>
      <c r="J33" s="35" t="b">
        <f t="shared" si="0"/>
        <v>0</v>
      </c>
    </row>
    <row r="34" spans="1:10" ht="40.5" customHeight="1" x14ac:dyDescent="0.3">
      <c r="A34" s="46"/>
      <c r="B34" s="47"/>
      <c r="C34" s="118" t="s">
        <v>735</v>
      </c>
      <c r="D34" s="118"/>
      <c r="E34" s="118"/>
      <c r="F34" s="118"/>
      <c r="G34" s="118"/>
      <c r="H34" s="118"/>
      <c r="I34" s="54" t="s">
        <v>620</v>
      </c>
      <c r="J34" s="55" t="s">
        <v>621</v>
      </c>
    </row>
    <row r="35" spans="1:10" ht="63.75" customHeight="1" x14ac:dyDescent="0.3">
      <c r="A35" s="19">
        <v>25</v>
      </c>
      <c r="B35" s="20" t="s">
        <v>438</v>
      </c>
      <c r="C35" s="98" t="s">
        <v>439</v>
      </c>
      <c r="D35" s="99"/>
      <c r="E35" s="99"/>
      <c r="F35" s="99"/>
      <c r="G35" s="99"/>
      <c r="H35" s="100"/>
      <c r="I35" s="19"/>
      <c r="J35" s="35" t="b">
        <f t="shared" si="0"/>
        <v>0</v>
      </c>
    </row>
    <row r="36" spans="1:10" ht="46.5" customHeight="1" x14ac:dyDescent="0.3">
      <c r="A36" s="19">
        <v>26</v>
      </c>
      <c r="B36" s="20" t="s">
        <v>440</v>
      </c>
      <c r="C36" s="98" t="s">
        <v>441</v>
      </c>
      <c r="D36" s="99"/>
      <c r="E36" s="99"/>
      <c r="F36" s="99"/>
      <c r="G36" s="99"/>
      <c r="H36" s="100"/>
      <c r="I36" s="19"/>
      <c r="J36" s="35" t="b">
        <f t="shared" si="0"/>
        <v>0</v>
      </c>
    </row>
    <row r="37" spans="1:10" ht="48" customHeight="1" x14ac:dyDescent="0.3">
      <c r="A37" s="19">
        <v>27</v>
      </c>
      <c r="B37" s="20" t="s">
        <v>440</v>
      </c>
      <c r="C37" s="98" t="s">
        <v>442</v>
      </c>
      <c r="D37" s="99"/>
      <c r="E37" s="99"/>
      <c r="F37" s="99"/>
      <c r="G37" s="99"/>
      <c r="H37" s="100"/>
      <c r="I37" s="19"/>
      <c r="J37" s="35" t="b">
        <f t="shared" si="0"/>
        <v>0</v>
      </c>
    </row>
    <row r="38" spans="1:10" ht="51.75" customHeight="1" x14ac:dyDescent="0.3">
      <c r="A38" s="19">
        <v>28</v>
      </c>
      <c r="B38" s="20" t="s">
        <v>443</v>
      </c>
      <c r="C38" s="98" t="s">
        <v>444</v>
      </c>
      <c r="D38" s="99"/>
      <c r="E38" s="99"/>
      <c r="F38" s="99"/>
      <c r="G38" s="99"/>
      <c r="H38" s="100"/>
      <c r="I38" s="19"/>
      <c r="J38" s="35" t="b">
        <f t="shared" si="0"/>
        <v>0</v>
      </c>
    </row>
    <row r="39" spans="1:10" ht="48" customHeight="1" x14ac:dyDescent="0.3">
      <c r="A39" s="19">
        <v>29</v>
      </c>
      <c r="B39" s="20" t="s">
        <v>445</v>
      </c>
      <c r="C39" s="98" t="s">
        <v>446</v>
      </c>
      <c r="D39" s="99"/>
      <c r="E39" s="99"/>
      <c r="F39" s="99"/>
      <c r="G39" s="99"/>
      <c r="H39" s="100"/>
      <c r="I39" s="19"/>
      <c r="J39" s="35" t="b">
        <f t="shared" si="0"/>
        <v>0</v>
      </c>
    </row>
    <row r="40" spans="1:10" ht="90.75" customHeight="1" x14ac:dyDescent="0.3">
      <c r="A40" s="19">
        <v>30</v>
      </c>
      <c r="B40" s="20" t="s">
        <v>447</v>
      </c>
      <c r="C40" s="98" t="s">
        <v>448</v>
      </c>
      <c r="D40" s="99"/>
      <c r="E40" s="99"/>
      <c r="F40" s="99"/>
      <c r="G40" s="99"/>
      <c r="H40" s="100"/>
      <c r="I40" s="19"/>
      <c r="J40" s="35" t="b">
        <f t="shared" si="0"/>
        <v>0</v>
      </c>
    </row>
    <row r="41" spans="1:10" ht="51" customHeight="1" x14ac:dyDescent="0.3">
      <c r="A41" s="19">
        <v>31</v>
      </c>
      <c r="B41" s="20" t="s">
        <v>449</v>
      </c>
      <c r="C41" s="98" t="s">
        <v>450</v>
      </c>
      <c r="D41" s="99"/>
      <c r="E41" s="99"/>
      <c r="F41" s="99"/>
      <c r="G41" s="99"/>
      <c r="H41" s="100"/>
      <c r="I41" s="19"/>
      <c r="J41" s="35" t="b">
        <f t="shared" si="0"/>
        <v>0</v>
      </c>
    </row>
    <row r="42" spans="1:10" ht="79.5" customHeight="1" x14ac:dyDescent="0.3">
      <c r="A42" s="19">
        <v>32</v>
      </c>
      <c r="B42" s="20" t="s">
        <v>449</v>
      </c>
      <c r="C42" s="98" t="s">
        <v>664</v>
      </c>
      <c r="D42" s="99"/>
      <c r="E42" s="99"/>
      <c r="F42" s="99"/>
      <c r="G42" s="99"/>
      <c r="H42" s="100"/>
      <c r="I42" s="19"/>
      <c r="J42" s="35" t="b">
        <f t="shared" si="0"/>
        <v>0</v>
      </c>
    </row>
    <row r="43" spans="1:10" ht="150.75" customHeight="1" x14ac:dyDescent="0.3">
      <c r="A43" s="19">
        <v>33</v>
      </c>
      <c r="B43" s="20" t="s">
        <v>451</v>
      </c>
      <c r="C43" s="98" t="s">
        <v>452</v>
      </c>
      <c r="D43" s="99"/>
      <c r="E43" s="99"/>
      <c r="F43" s="99"/>
      <c r="G43" s="99"/>
      <c r="H43" s="100"/>
      <c r="I43" s="19"/>
      <c r="J43" s="35" t="b">
        <f t="shared" si="0"/>
        <v>0</v>
      </c>
    </row>
    <row r="44" spans="1:10" ht="75" customHeight="1" x14ac:dyDescent="0.3">
      <c r="A44" s="19">
        <v>34</v>
      </c>
      <c r="B44" s="20" t="s">
        <v>453</v>
      </c>
      <c r="C44" s="98" t="s">
        <v>454</v>
      </c>
      <c r="D44" s="99"/>
      <c r="E44" s="99"/>
      <c r="F44" s="99"/>
      <c r="G44" s="99"/>
      <c r="H44" s="100"/>
      <c r="I44" s="19"/>
      <c r="J44" s="35" t="b">
        <f t="shared" si="0"/>
        <v>0</v>
      </c>
    </row>
    <row r="45" spans="1:10" ht="91.5" customHeight="1" x14ac:dyDescent="0.3">
      <c r="A45" s="19">
        <v>35</v>
      </c>
      <c r="B45" s="20" t="s">
        <v>453</v>
      </c>
      <c r="C45" s="98" t="s">
        <v>455</v>
      </c>
      <c r="D45" s="99"/>
      <c r="E45" s="99"/>
      <c r="F45" s="99"/>
      <c r="G45" s="99"/>
      <c r="H45" s="100"/>
      <c r="I45" s="19"/>
      <c r="J45" s="35" t="b">
        <f t="shared" si="0"/>
        <v>0</v>
      </c>
    </row>
    <row r="46" spans="1:10" ht="82.5" customHeight="1" x14ac:dyDescent="0.3">
      <c r="A46" s="19">
        <v>36</v>
      </c>
      <c r="B46" s="20" t="s">
        <v>456</v>
      </c>
      <c r="C46" s="98" t="s">
        <v>457</v>
      </c>
      <c r="D46" s="99"/>
      <c r="E46" s="99"/>
      <c r="F46" s="99"/>
      <c r="G46" s="99"/>
      <c r="H46" s="100"/>
      <c r="I46" s="19"/>
      <c r="J46" s="35" t="b">
        <f t="shared" si="0"/>
        <v>0</v>
      </c>
    </row>
    <row r="47" spans="1:10" ht="59.25" customHeight="1" x14ac:dyDescent="0.3">
      <c r="A47" s="19">
        <v>37</v>
      </c>
      <c r="B47" s="20" t="s">
        <v>456</v>
      </c>
      <c r="C47" s="98" t="s">
        <v>458</v>
      </c>
      <c r="D47" s="99"/>
      <c r="E47" s="99"/>
      <c r="F47" s="99"/>
      <c r="G47" s="99"/>
      <c r="H47" s="100"/>
      <c r="I47" s="19"/>
      <c r="J47" s="35" t="b">
        <f t="shared" si="0"/>
        <v>0</v>
      </c>
    </row>
    <row r="48" spans="1:10" ht="95.25" customHeight="1" x14ac:dyDescent="0.3">
      <c r="A48" s="19">
        <v>38</v>
      </c>
      <c r="B48" s="21" t="s">
        <v>459</v>
      </c>
      <c r="C48" s="98" t="s">
        <v>460</v>
      </c>
      <c r="D48" s="99"/>
      <c r="E48" s="99"/>
      <c r="F48" s="99"/>
      <c r="G48" s="99"/>
      <c r="H48" s="100"/>
      <c r="I48" s="19"/>
      <c r="J48" s="35" t="b">
        <f t="shared" si="0"/>
        <v>0</v>
      </c>
    </row>
    <row r="49" spans="10:10" ht="15.6" x14ac:dyDescent="0.3">
      <c r="J49" s="37"/>
    </row>
    <row r="50" spans="10:10" ht="15.6" x14ac:dyDescent="0.3">
      <c r="J50" s="37"/>
    </row>
    <row r="51" spans="10:10" ht="15.6" x14ac:dyDescent="0.3">
      <c r="J51" s="37"/>
    </row>
    <row r="52" spans="10:10" x14ac:dyDescent="0.3">
      <c r="J52" s="56"/>
    </row>
    <row r="53" spans="10:10" ht="15.6" x14ac:dyDescent="0.3">
      <c r="J53" s="37"/>
    </row>
    <row r="54" spans="10:10" ht="15.6" x14ac:dyDescent="0.3">
      <c r="J54" s="37"/>
    </row>
    <row r="55" spans="10:10" ht="15.6" x14ac:dyDescent="0.3">
      <c r="J55" s="37"/>
    </row>
    <row r="56" spans="10:10" ht="15.6" x14ac:dyDescent="0.3">
      <c r="J56" s="37"/>
    </row>
    <row r="58" spans="10:10" ht="15.6" x14ac:dyDescent="0.3">
      <c r="J58" s="37"/>
    </row>
    <row r="59" spans="10:10" ht="15.6" x14ac:dyDescent="0.3">
      <c r="J59" s="37"/>
    </row>
    <row r="60" spans="10:10" ht="15.6" x14ac:dyDescent="0.3">
      <c r="J60" s="37"/>
    </row>
    <row r="61" spans="10:10" ht="15.6" x14ac:dyDescent="0.3">
      <c r="J61" s="37"/>
    </row>
    <row r="62" spans="10:10" ht="15.6" x14ac:dyDescent="0.3">
      <c r="J62" s="37"/>
    </row>
    <row r="63" spans="10:10" ht="15.6" x14ac:dyDescent="0.3">
      <c r="J63" s="37"/>
    </row>
    <row r="64" spans="10:10" ht="15.6" x14ac:dyDescent="0.3">
      <c r="J64" s="37"/>
    </row>
    <row r="65" spans="10:10" x14ac:dyDescent="0.3">
      <c r="J65" s="56"/>
    </row>
    <row r="66" spans="10:10" ht="15.6" x14ac:dyDescent="0.3">
      <c r="J66" s="37"/>
    </row>
    <row r="67" spans="10:10" ht="15.6" x14ac:dyDescent="0.3">
      <c r="J67" s="37"/>
    </row>
    <row r="68" spans="10:10" ht="15.6" x14ac:dyDescent="0.3">
      <c r="J68" s="37"/>
    </row>
    <row r="69" spans="10:10" ht="15.6" x14ac:dyDescent="0.3">
      <c r="J69" s="37"/>
    </row>
    <row r="70" spans="10:10" ht="15.6" x14ac:dyDescent="0.3">
      <c r="J70" s="37"/>
    </row>
    <row r="71" spans="10:10" ht="15.6" x14ac:dyDescent="0.3">
      <c r="J71" s="37"/>
    </row>
    <row r="72" spans="10:10" ht="15.6" x14ac:dyDescent="0.3">
      <c r="J72" s="37"/>
    </row>
    <row r="73" spans="10:10" ht="15.6" x14ac:dyDescent="0.3">
      <c r="J73" s="37"/>
    </row>
    <row r="74" spans="10:10" ht="15.6" x14ac:dyDescent="0.3">
      <c r="J74" s="37"/>
    </row>
    <row r="75" spans="10:10" x14ac:dyDescent="0.3">
      <c r="J75" s="56"/>
    </row>
    <row r="76" spans="10:10" x14ac:dyDescent="0.3">
      <c r="J76" s="56"/>
    </row>
    <row r="77" spans="10:10" x14ac:dyDescent="0.3">
      <c r="J77" s="56"/>
    </row>
    <row r="78" spans="10:10" x14ac:dyDescent="0.3">
      <c r="J78" s="56"/>
    </row>
    <row r="79" spans="10:10" x14ac:dyDescent="0.3">
      <c r="J79" s="56"/>
    </row>
    <row r="80" spans="10:10" x14ac:dyDescent="0.3">
      <c r="J80" s="56"/>
    </row>
    <row r="81" spans="10:10" x14ac:dyDescent="0.3">
      <c r="J81" s="56"/>
    </row>
    <row r="82" spans="10:10" x14ac:dyDescent="0.3">
      <c r="J82" s="56"/>
    </row>
    <row r="83" spans="10:10" x14ac:dyDescent="0.3">
      <c r="J83" s="56"/>
    </row>
    <row r="84" spans="10:10" x14ac:dyDescent="0.3">
      <c r="J84" s="56"/>
    </row>
    <row r="85" spans="10:10" x14ac:dyDescent="0.3">
      <c r="J85" s="56"/>
    </row>
    <row r="86" spans="10:10" x14ac:dyDescent="0.3">
      <c r="J86" s="56"/>
    </row>
    <row r="87" spans="10:10" x14ac:dyDescent="0.3">
      <c r="J87" s="56"/>
    </row>
    <row r="88" spans="10:10" x14ac:dyDescent="0.3">
      <c r="J88" s="56"/>
    </row>
    <row r="89" spans="10:10" x14ac:dyDescent="0.3">
      <c r="J89" s="56"/>
    </row>
    <row r="90" spans="10:10" x14ac:dyDescent="0.3">
      <c r="J90" s="56"/>
    </row>
    <row r="91" spans="10:10" x14ac:dyDescent="0.3">
      <c r="J91" s="56"/>
    </row>
    <row r="92" spans="10:10" x14ac:dyDescent="0.3">
      <c r="J92" s="56"/>
    </row>
    <row r="93" spans="10:10" x14ac:dyDescent="0.3">
      <c r="J93" s="56"/>
    </row>
    <row r="94" spans="10:10" x14ac:dyDescent="0.3">
      <c r="J94" s="56"/>
    </row>
    <row r="95" spans="10:10" x14ac:dyDescent="0.3">
      <c r="J95" s="56"/>
    </row>
    <row r="96" spans="10:10" x14ac:dyDescent="0.3">
      <c r="J96" s="56"/>
    </row>
    <row r="97" spans="10:10" x14ac:dyDescent="0.3">
      <c r="J97" s="56"/>
    </row>
    <row r="98" spans="10:10" x14ac:dyDescent="0.3">
      <c r="J98" s="56"/>
    </row>
    <row r="99" spans="10:10" x14ac:dyDescent="0.3">
      <c r="J99" s="56"/>
    </row>
    <row r="100" spans="10:10" x14ac:dyDescent="0.3">
      <c r="J100" s="56"/>
    </row>
    <row r="101" spans="10:10" x14ac:dyDescent="0.3">
      <c r="J101" s="56"/>
    </row>
    <row r="102" spans="10:10" x14ac:dyDescent="0.3">
      <c r="J102" s="56"/>
    </row>
    <row r="103" spans="10:10" x14ac:dyDescent="0.3">
      <c r="J103" s="56"/>
    </row>
    <row r="104" spans="10:10" x14ac:dyDescent="0.3">
      <c r="J104" s="56"/>
    </row>
    <row r="105" spans="10:10" x14ac:dyDescent="0.3">
      <c r="J105" s="56"/>
    </row>
    <row r="106" spans="10:10" x14ac:dyDescent="0.3">
      <c r="J106" s="56"/>
    </row>
    <row r="107" spans="10:10" x14ac:dyDescent="0.3">
      <c r="J107" s="56"/>
    </row>
    <row r="108" spans="10:10" x14ac:dyDescent="0.3">
      <c r="J108" s="56"/>
    </row>
    <row r="109" spans="10:10" x14ac:dyDescent="0.3">
      <c r="J109" s="56"/>
    </row>
    <row r="110" spans="10:10" x14ac:dyDescent="0.3">
      <c r="J110" s="56"/>
    </row>
    <row r="111" spans="10:10" x14ac:dyDescent="0.3">
      <c r="J111" s="56"/>
    </row>
    <row r="112" spans="10:10" x14ac:dyDescent="0.3">
      <c r="J112" s="56"/>
    </row>
    <row r="113" spans="10:10" x14ac:dyDescent="0.3">
      <c r="J113" s="56"/>
    </row>
    <row r="114" spans="10:10" x14ac:dyDescent="0.3">
      <c r="J114" s="56"/>
    </row>
    <row r="115" spans="10:10" x14ac:dyDescent="0.3">
      <c r="J115" s="56"/>
    </row>
    <row r="116" spans="10:10" x14ac:dyDescent="0.3">
      <c r="J116" s="56"/>
    </row>
    <row r="117" spans="10:10" x14ac:dyDescent="0.3">
      <c r="J117" s="56"/>
    </row>
    <row r="118" spans="10:10" x14ac:dyDescent="0.3">
      <c r="J118" s="56"/>
    </row>
    <row r="119" spans="10:10" x14ac:dyDescent="0.3">
      <c r="J119" s="56"/>
    </row>
    <row r="120" spans="10:10" x14ac:dyDescent="0.3">
      <c r="J120" s="56"/>
    </row>
    <row r="121" spans="10:10" x14ac:dyDescent="0.3">
      <c r="J121" s="56"/>
    </row>
    <row r="122" spans="10:10" x14ac:dyDescent="0.3">
      <c r="J122" s="56"/>
    </row>
    <row r="123" spans="10:10" x14ac:dyDescent="0.3">
      <c r="J123" s="56"/>
    </row>
  </sheetData>
  <mergeCells count="46">
    <mergeCell ref="A1:J1"/>
    <mergeCell ref="A2:J4"/>
    <mergeCell ref="C45:H45"/>
    <mergeCell ref="C46:H46"/>
    <mergeCell ref="C47:H47"/>
    <mergeCell ref="C38:H38"/>
    <mergeCell ref="C26:H26"/>
    <mergeCell ref="C27:H27"/>
    <mergeCell ref="C28:H28"/>
    <mergeCell ref="C29:H29"/>
    <mergeCell ref="C30:H30"/>
    <mergeCell ref="C31:H31"/>
    <mergeCell ref="C32:H32"/>
    <mergeCell ref="C33:H33"/>
    <mergeCell ref="C35:H35"/>
    <mergeCell ref="C36:H36"/>
    <mergeCell ref="C48:H48"/>
    <mergeCell ref="C39:H39"/>
    <mergeCell ref="C40:H40"/>
    <mergeCell ref="C41:H41"/>
    <mergeCell ref="C42:H42"/>
    <mergeCell ref="C43:H43"/>
    <mergeCell ref="C44:H44"/>
    <mergeCell ref="C37:H37"/>
    <mergeCell ref="C34:H34"/>
    <mergeCell ref="C25:H25"/>
    <mergeCell ref="C13:H13"/>
    <mergeCell ref="C14:H14"/>
    <mergeCell ref="C15:H15"/>
    <mergeCell ref="C16:H16"/>
    <mergeCell ref="C17:H17"/>
    <mergeCell ref="C19:H19"/>
    <mergeCell ref="C20:H20"/>
    <mergeCell ref="C21:H21"/>
    <mergeCell ref="C22:H22"/>
    <mergeCell ref="C23:H23"/>
    <mergeCell ref="C24:H24"/>
    <mergeCell ref="C18:H18"/>
    <mergeCell ref="C12:H12"/>
    <mergeCell ref="C7:H7"/>
    <mergeCell ref="C9:H9"/>
    <mergeCell ref="C10:H10"/>
    <mergeCell ref="A5:J5"/>
    <mergeCell ref="C6:H6"/>
    <mergeCell ref="C8:H8"/>
    <mergeCell ref="C11:H1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Lista!$C$2:$C$5</xm:f>
          </x14:formula1>
          <xm:sqref>I7 I9:I10 I12:I17 I19:I33 I35:I48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9"/>
  <sheetViews>
    <sheetView topLeftCell="A4" workbookViewId="0">
      <selection activeCell="C11" sqref="C11:H11"/>
    </sheetView>
  </sheetViews>
  <sheetFormatPr baseColWidth="10" defaultColWidth="10.77734375" defaultRowHeight="15" x14ac:dyDescent="0.3"/>
  <cols>
    <col min="1" max="1" width="7" style="48" customWidth="1"/>
    <col min="2" max="2" width="17.44140625" style="48" customWidth="1"/>
    <col min="3" max="3" width="10.77734375" style="45"/>
    <col min="4" max="5" width="9.77734375" style="45" customWidth="1"/>
    <col min="6" max="6" width="8.77734375" style="45" customWidth="1"/>
    <col min="7" max="7" width="11.21875" style="45" customWidth="1"/>
    <col min="8" max="8" width="7.77734375" style="45" customWidth="1"/>
    <col min="9" max="9" width="19" style="48" customWidth="1"/>
    <col min="10" max="10" width="13.5546875" style="31" customWidth="1"/>
    <col min="11" max="16384" width="10.77734375" style="45"/>
  </cols>
  <sheetData>
    <row r="1" spans="1:11" x14ac:dyDescent="0.3">
      <c r="A1" s="117"/>
      <c r="B1" s="117"/>
      <c r="C1" s="117"/>
      <c r="D1" s="117"/>
      <c r="E1" s="117"/>
      <c r="F1" s="117"/>
      <c r="G1" s="117"/>
      <c r="H1" s="117"/>
      <c r="I1" s="117"/>
      <c r="J1" s="117"/>
    </row>
    <row r="2" spans="1:11" x14ac:dyDescent="0.3">
      <c r="A2" s="119" t="s">
        <v>753</v>
      </c>
      <c r="B2" s="119"/>
      <c r="C2" s="119"/>
      <c r="D2" s="119"/>
      <c r="E2" s="119"/>
      <c r="F2" s="119"/>
      <c r="G2" s="119"/>
      <c r="H2" s="119"/>
      <c r="I2" s="119"/>
      <c r="J2" s="119"/>
    </row>
    <row r="3" spans="1:11" x14ac:dyDescent="0.3">
      <c r="A3" s="119"/>
      <c r="B3" s="119"/>
      <c r="C3" s="119"/>
      <c r="D3" s="119"/>
      <c r="E3" s="119"/>
      <c r="F3" s="119"/>
      <c r="G3" s="119"/>
      <c r="H3" s="119"/>
      <c r="I3" s="119"/>
      <c r="J3" s="119"/>
    </row>
    <row r="4" spans="1:11" x14ac:dyDescent="0.3">
      <c r="A4" s="119"/>
      <c r="B4" s="119"/>
      <c r="C4" s="119"/>
      <c r="D4" s="119"/>
      <c r="E4" s="119"/>
      <c r="F4" s="119"/>
      <c r="G4" s="119"/>
      <c r="H4" s="119"/>
      <c r="I4" s="119"/>
      <c r="J4" s="119"/>
    </row>
    <row r="5" spans="1:11" ht="59.25" customHeight="1" x14ac:dyDescent="0.25">
      <c r="A5" s="111" t="s">
        <v>11</v>
      </c>
      <c r="B5" s="111"/>
      <c r="C5" s="111"/>
      <c r="D5" s="111"/>
      <c r="E5" s="111"/>
      <c r="F5" s="111"/>
      <c r="G5" s="111"/>
      <c r="H5" s="111"/>
      <c r="I5" s="111"/>
      <c r="J5" s="111"/>
      <c r="K5" s="44"/>
    </row>
    <row r="6" spans="1:11" ht="18" customHeight="1" x14ac:dyDescent="0.3">
      <c r="A6" s="46" t="s">
        <v>13</v>
      </c>
      <c r="B6" s="47" t="s">
        <v>14</v>
      </c>
      <c r="C6" s="109" t="s">
        <v>725</v>
      </c>
      <c r="D6" s="110"/>
      <c r="E6" s="110"/>
      <c r="F6" s="110"/>
      <c r="G6" s="110"/>
      <c r="H6" s="110"/>
      <c r="I6" s="55" t="s">
        <v>620</v>
      </c>
      <c r="J6" s="51" t="s">
        <v>621</v>
      </c>
    </row>
    <row r="7" spans="1:11" ht="60.75" customHeight="1" x14ac:dyDescent="0.3">
      <c r="A7" s="19">
        <v>1</v>
      </c>
      <c r="B7" s="20" t="s">
        <v>461</v>
      </c>
      <c r="C7" s="101" t="s">
        <v>462</v>
      </c>
      <c r="D7" s="102"/>
      <c r="E7" s="102"/>
      <c r="F7" s="102"/>
      <c r="G7" s="102"/>
      <c r="H7" s="103"/>
      <c r="I7" s="19"/>
      <c r="J7" s="35" t="b">
        <f>IF(I7="No cumple",0,IF(I7="No aplica",2,IF(I7="Cumple totalmente",2,IF(I7="Cumple parcialmente",1))))</f>
        <v>0</v>
      </c>
    </row>
    <row r="8" spans="1:11" ht="31.5" customHeight="1" x14ac:dyDescent="0.3">
      <c r="A8" s="19">
        <v>2</v>
      </c>
      <c r="B8" s="20" t="s">
        <v>463</v>
      </c>
      <c r="C8" s="101" t="s">
        <v>464</v>
      </c>
      <c r="D8" s="102"/>
      <c r="E8" s="102"/>
      <c r="F8" s="102"/>
      <c r="G8" s="102"/>
      <c r="H8" s="103"/>
      <c r="I8" s="19"/>
      <c r="J8" s="35" t="b">
        <f t="shared" ref="J8:J71" si="0">IF(I8="No cumple",0,IF(I8="No aplica",2,IF(I8="Cumple totalmente",2,IF(I8="Cumple parcialmente",1))))</f>
        <v>0</v>
      </c>
    </row>
    <row r="9" spans="1:11" ht="60" customHeight="1" x14ac:dyDescent="0.3">
      <c r="A9" s="19">
        <v>3</v>
      </c>
      <c r="B9" s="20" t="s">
        <v>465</v>
      </c>
      <c r="C9" s="98" t="s">
        <v>652</v>
      </c>
      <c r="D9" s="99"/>
      <c r="E9" s="99"/>
      <c r="F9" s="99"/>
      <c r="G9" s="99"/>
      <c r="H9" s="100"/>
      <c r="I9" s="19"/>
      <c r="J9" s="35" t="b">
        <f t="shared" si="0"/>
        <v>0</v>
      </c>
    </row>
    <row r="10" spans="1:11" ht="60" customHeight="1" x14ac:dyDescent="0.3">
      <c r="A10" s="19">
        <v>4</v>
      </c>
      <c r="B10" s="20" t="s">
        <v>466</v>
      </c>
      <c r="C10" s="98" t="s">
        <v>467</v>
      </c>
      <c r="D10" s="99"/>
      <c r="E10" s="99"/>
      <c r="F10" s="99"/>
      <c r="G10" s="99"/>
      <c r="H10" s="100"/>
      <c r="I10" s="19"/>
      <c r="J10" s="35" t="b">
        <f t="shared" si="0"/>
        <v>0</v>
      </c>
    </row>
    <row r="11" spans="1:11" ht="92.25" customHeight="1" x14ac:dyDescent="0.3">
      <c r="A11" s="19">
        <v>5</v>
      </c>
      <c r="B11" s="20" t="s">
        <v>468</v>
      </c>
      <c r="C11" s="98" t="s">
        <v>653</v>
      </c>
      <c r="D11" s="99"/>
      <c r="E11" s="99"/>
      <c r="F11" s="99"/>
      <c r="G11" s="99"/>
      <c r="H11" s="100"/>
      <c r="I11" s="19"/>
      <c r="J11" s="35" t="b">
        <f t="shared" si="0"/>
        <v>0</v>
      </c>
    </row>
    <row r="12" spans="1:11" ht="44.25" customHeight="1" x14ac:dyDescent="0.3">
      <c r="A12" s="19">
        <v>6</v>
      </c>
      <c r="B12" s="20" t="s">
        <v>469</v>
      </c>
      <c r="C12" s="98" t="s">
        <v>654</v>
      </c>
      <c r="D12" s="99"/>
      <c r="E12" s="99"/>
      <c r="F12" s="99"/>
      <c r="G12" s="99"/>
      <c r="H12" s="100"/>
      <c r="I12" s="19"/>
      <c r="J12" s="35" t="b">
        <f t="shared" si="0"/>
        <v>0</v>
      </c>
    </row>
    <row r="13" spans="1:11" ht="51.75" customHeight="1" x14ac:dyDescent="0.3">
      <c r="A13" s="19">
        <v>7</v>
      </c>
      <c r="B13" s="20" t="s">
        <v>469</v>
      </c>
      <c r="C13" s="98" t="s">
        <v>470</v>
      </c>
      <c r="D13" s="99"/>
      <c r="E13" s="99"/>
      <c r="F13" s="99"/>
      <c r="G13" s="99"/>
      <c r="H13" s="100"/>
      <c r="I13" s="19"/>
      <c r="J13" s="35" t="b">
        <f t="shared" si="0"/>
        <v>0</v>
      </c>
    </row>
    <row r="14" spans="1:11" ht="49.5" customHeight="1" x14ac:dyDescent="0.3">
      <c r="A14" s="19">
        <v>8</v>
      </c>
      <c r="B14" s="20" t="s">
        <v>471</v>
      </c>
      <c r="C14" s="98" t="s">
        <v>472</v>
      </c>
      <c r="D14" s="99"/>
      <c r="E14" s="99"/>
      <c r="F14" s="99"/>
      <c r="G14" s="99"/>
      <c r="H14" s="100"/>
      <c r="I14" s="19"/>
      <c r="J14" s="35" t="b">
        <f t="shared" si="0"/>
        <v>0</v>
      </c>
    </row>
    <row r="15" spans="1:11" ht="51" customHeight="1" x14ac:dyDescent="0.3">
      <c r="A15" s="19">
        <v>9</v>
      </c>
      <c r="B15" s="20" t="s">
        <v>473</v>
      </c>
      <c r="C15" s="98" t="s">
        <v>474</v>
      </c>
      <c r="D15" s="99"/>
      <c r="E15" s="99"/>
      <c r="F15" s="99"/>
      <c r="G15" s="99"/>
      <c r="H15" s="100"/>
      <c r="I15" s="19"/>
      <c r="J15" s="35" t="b">
        <f t="shared" si="0"/>
        <v>0</v>
      </c>
    </row>
    <row r="16" spans="1:11" ht="60.75" customHeight="1" x14ac:dyDescent="0.3">
      <c r="A16" s="19">
        <v>10</v>
      </c>
      <c r="B16" s="20" t="s">
        <v>475</v>
      </c>
      <c r="C16" s="98" t="s">
        <v>476</v>
      </c>
      <c r="D16" s="99"/>
      <c r="E16" s="99"/>
      <c r="F16" s="99"/>
      <c r="G16" s="99"/>
      <c r="H16" s="100"/>
      <c r="I16" s="19"/>
      <c r="J16" s="35" t="b">
        <f t="shared" si="0"/>
        <v>0</v>
      </c>
    </row>
    <row r="17" spans="1:10" ht="63" customHeight="1" x14ac:dyDescent="0.3">
      <c r="A17" s="19">
        <v>11</v>
      </c>
      <c r="B17" s="20" t="s">
        <v>477</v>
      </c>
      <c r="C17" s="98" t="s">
        <v>478</v>
      </c>
      <c r="D17" s="99"/>
      <c r="E17" s="99"/>
      <c r="F17" s="99"/>
      <c r="G17" s="99"/>
      <c r="H17" s="100"/>
      <c r="I17" s="19"/>
      <c r="J17" s="35" t="b">
        <f t="shared" si="0"/>
        <v>0</v>
      </c>
    </row>
    <row r="18" spans="1:10" ht="30.75" customHeight="1" x14ac:dyDescent="0.3">
      <c r="A18" s="19">
        <v>12</v>
      </c>
      <c r="B18" s="20" t="s">
        <v>479</v>
      </c>
      <c r="C18" s="98" t="s">
        <v>480</v>
      </c>
      <c r="D18" s="99"/>
      <c r="E18" s="99"/>
      <c r="F18" s="99"/>
      <c r="G18" s="99"/>
      <c r="H18" s="100"/>
      <c r="I18" s="19"/>
      <c r="J18" s="35" t="b">
        <f t="shared" si="0"/>
        <v>0</v>
      </c>
    </row>
    <row r="19" spans="1:10" ht="30" customHeight="1" x14ac:dyDescent="0.3">
      <c r="A19" s="19">
        <v>13</v>
      </c>
      <c r="B19" s="20" t="s">
        <v>481</v>
      </c>
      <c r="C19" s="98" t="s">
        <v>482</v>
      </c>
      <c r="D19" s="99"/>
      <c r="E19" s="99"/>
      <c r="F19" s="99"/>
      <c r="G19" s="99"/>
      <c r="H19" s="100"/>
      <c r="I19" s="19"/>
      <c r="J19" s="35" t="b">
        <f t="shared" si="0"/>
        <v>0</v>
      </c>
    </row>
    <row r="20" spans="1:10" ht="45" customHeight="1" x14ac:dyDescent="0.3">
      <c r="A20" s="19">
        <v>14</v>
      </c>
      <c r="B20" s="20" t="s">
        <v>483</v>
      </c>
      <c r="C20" s="98" t="s">
        <v>484</v>
      </c>
      <c r="D20" s="99"/>
      <c r="E20" s="99"/>
      <c r="F20" s="99"/>
      <c r="G20" s="99"/>
      <c r="H20" s="100"/>
      <c r="I20" s="19"/>
      <c r="J20" s="35" t="b">
        <f t="shared" si="0"/>
        <v>0</v>
      </c>
    </row>
    <row r="21" spans="1:10" ht="21.75" customHeight="1" x14ac:dyDescent="0.3">
      <c r="A21" s="19">
        <v>15</v>
      </c>
      <c r="B21" s="20" t="s">
        <v>485</v>
      </c>
      <c r="C21" s="98" t="s">
        <v>486</v>
      </c>
      <c r="D21" s="99"/>
      <c r="E21" s="99"/>
      <c r="F21" s="99"/>
      <c r="G21" s="99"/>
      <c r="H21" s="100"/>
      <c r="I21" s="19"/>
      <c r="J21" s="35" t="b">
        <f t="shared" si="0"/>
        <v>0</v>
      </c>
    </row>
    <row r="22" spans="1:10" ht="31.5" customHeight="1" x14ac:dyDescent="0.3">
      <c r="A22" s="19">
        <v>16</v>
      </c>
      <c r="B22" s="20" t="s">
        <v>487</v>
      </c>
      <c r="C22" s="98" t="s">
        <v>488</v>
      </c>
      <c r="D22" s="99"/>
      <c r="E22" s="99"/>
      <c r="F22" s="99"/>
      <c r="G22" s="99"/>
      <c r="H22" s="100"/>
      <c r="I22" s="19"/>
      <c r="J22" s="35" t="b">
        <f t="shared" si="0"/>
        <v>0</v>
      </c>
    </row>
    <row r="23" spans="1:10" ht="45" customHeight="1" x14ac:dyDescent="0.3">
      <c r="A23" s="19">
        <v>17</v>
      </c>
      <c r="B23" s="20" t="s">
        <v>489</v>
      </c>
      <c r="C23" s="98" t="s">
        <v>490</v>
      </c>
      <c r="D23" s="99"/>
      <c r="E23" s="99"/>
      <c r="F23" s="99"/>
      <c r="G23" s="99"/>
      <c r="H23" s="100"/>
      <c r="I23" s="19"/>
      <c r="J23" s="35" t="b">
        <f t="shared" si="0"/>
        <v>0</v>
      </c>
    </row>
    <row r="24" spans="1:10" ht="33" customHeight="1" x14ac:dyDescent="0.3">
      <c r="A24" s="19">
        <v>18</v>
      </c>
      <c r="B24" s="20" t="s">
        <v>491</v>
      </c>
      <c r="C24" s="98" t="s">
        <v>492</v>
      </c>
      <c r="D24" s="99"/>
      <c r="E24" s="99"/>
      <c r="F24" s="99"/>
      <c r="G24" s="99"/>
      <c r="H24" s="100"/>
      <c r="I24" s="19"/>
      <c r="J24" s="35" t="b">
        <f t="shared" si="0"/>
        <v>0</v>
      </c>
    </row>
    <row r="25" spans="1:10" ht="30" customHeight="1" x14ac:dyDescent="0.3">
      <c r="A25" s="19">
        <v>19</v>
      </c>
      <c r="B25" s="20" t="s">
        <v>493</v>
      </c>
      <c r="C25" s="98" t="s">
        <v>494</v>
      </c>
      <c r="D25" s="99"/>
      <c r="E25" s="99"/>
      <c r="F25" s="99"/>
      <c r="G25" s="99"/>
      <c r="H25" s="100"/>
      <c r="I25" s="19"/>
      <c r="J25" s="35" t="b">
        <f t="shared" si="0"/>
        <v>0</v>
      </c>
    </row>
    <row r="26" spans="1:10" ht="27" customHeight="1" x14ac:dyDescent="0.3">
      <c r="A26" s="46" t="s">
        <v>13</v>
      </c>
      <c r="B26" s="47" t="s">
        <v>14</v>
      </c>
      <c r="C26" s="120" t="s">
        <v>726</v>
      </c>
      <c r="D26" s="121"/>
      <c r="E26" s="121"/>
      <c r="F26" s="121"/>
      <c r="G26" s="121"/>
      <c r="H26" s="121"/>
      <c r="I26" s="55" t="s">
        <v>620</v>
      </c>
      <c r="J26" s="55" t="s">
        <v>621</v>
      </c>
    </row>
    <row r="27" spans="1:10" ht="123" customHeight="1" x14ac:dyDescent="0.3">
      <c r="A27" s="19">
        <v>20</v>
      </c>
      <c r="B27" s="20" t="s">
        <v>495</v>
      </c>
      <c r="C27" s="98" t="s">
        <v>655</v>
      </c>
      <c r="D27" s="99"/>
      <c r="E27" s="99"/>
      <c r="F27" s="99"/>
      <c r="G27" s="99"/>
      <c r="H27" s="100"/>
      <c r="I27" s="19"/>
      <c r="J27" s="35" t="b">
        <f t="shared" si="0"/>
        <v>0</v>
      </c>
    </row>
    <row r="28" spans="1:10" ht="90.75" customHeight="1" x14ac:dyDescent="0.3">
      <c r="A28" s="19">
        <v>21</v>
      </c>
      <c r="B28" s="20" t="s">
        <v>496</v>
      </c>
      <c r="C28" s="98" t="s">
        <v>656</v>
      </c>
      <c r="D28" s="99"/>
      <c r="E28" s="99"/>
      <c r="F28" s="99"/>
      <c r="G28" s="99"/>
      <c r="H28" s="100"/>
      <c r="I28" s="19"/>
      <c r="J28" s="35" t="b">
        <f t="shared" si="0"/>
        <v>0</v>
      </c>
    </row>
    <row r="29" spans="1:10" ht="48" customHeight="1" x14ac:dyDescent="0.3">
      <c r="A29" s="19">
        <v>22</v>
      </c>
      <c r="B29" s="20" t="s">
        <v>497</v>
      </c>
      <c r="C29" s="98" t="s">
        <v>498</v>
      </c>
      <c r="D29" s="99"/>
      <c r="E29" s="99"/>
      <c r="F29" s="99"/>
      <c r="G29" s="99"/>
      <c r="H29" s="100"/>
      <c r="I29" s="19"/>
      <c r="J29" s="35" t="b">
        <f t="shared" si="0"/>
        <v>0</v>
      </c>
    </row>
    <row r="30" spans="1:10" ht="65.25" customHeight="1" x14ac:dyDescent="0.3">
      <c r="A30" s="19">
        <v>23</v>
      </c>
      <c r="B30" s="20" t="s">
        <v>499</v>
      </c>
      <c r="C30" s="98" t="s">
        <v>500</v>
      </c>
      <c r="D30" s="99"/>
      <c r="E30" s="99"/>
      <c r="F30" s="99"/>
      <c r="G30" s="99"/>
      <c r="H30" s="100"/>
      <c r="I30" s="19"/>
      <c r="J30" s="35" t="b">
        <f t="shared" si="0"/>
        <v>0</v>
      </c>
    </row>
    <row r="31" spans="1:10" ht="15.75" customHeight="1" x14ac:dyDescent="0.3">
      <c r="A31" s="19">
        <v>24</v>
      </c>
      <c r="B31" s="20" t="s">
        <v>501</v>
      </c>
      <c r="C31" s="98" t="s">
        <v>657</v>
      </c>
      <c r="D31" s="99"/>
      <c r="E31" s="99"/>
      <c r="F31" s="99"/>
      <c r="G31" s="99"/>
      <c r="H31" s="100"/>
      <c r="I31" s="19"/>
      <c r="J31" s="35" t="b">
        <f t="shared" si="0"/>
        <v>0</v>
      </c>
    </row>
    <row r="32" spans="1:10" ht="30.75" customHeight="1" x14ac:dyDescent="0.3">
      <c r="A32" s="19">
        <v>25</v>
      </c>
      <c r="B32" s="20" t="s">
        <v>501</v>
      </c>
      <c r="C32" s="98" t="s">
        <v>502</v>
      </c>
      <c r="D32" s="99"/>
      <c r="E32" s="99"/>
      <c r="F32" s="99"/>
      <c r="G32" s="99"/>
      <c r="H32" s="100"/>
      <c r="I32" s="19"/>
      <c r="J32" s="35" t="b">
        <f t="shared" si="0"/>
        <v>0</v>
      </c>
    </row>
    <row r="33" spans="1:10" ht="48.75" customHeight="1" x14ac:dyDescent="0.3">
      <c r="A33" s="19">
        <v>26</v>
      </c>
      <c r="B33" s="20" t="s">
        <v>503</v>
      </c>
      <c r="C33" s="98" t="s">
        <v>504</v>
      </c>
      <c r="D33" s="99"/>
      <c r="E33" s="99"/>
      <c r="F33" s="99"/>
      <c r="G33" s="99"/>
      <c r="H33" s="100"/>
      <c r="I33" s="19"/>
      <c r="J33" s="35" t="b">
        <f t="shared" si="0"/>
        <v>0</v>
      </c>
    </row>
    <row r="34" spans="1:10" ht="59.25" customHeight="1" x14ac:dyDescent="0.3">
      <c r="A34" s="19">
        <v>27</v>
      </c>
      <c r="B34" s="20" t="s">
        <v>505</v>
      </c>
      <c r="C34" s="98" t="s">
        <v>506</v>
      </c>
      <c r="D34" s="99"/>
      <c r="E34" s="99"/>
      <c r="F34" s="99"/>
      <c r="G34" s="99"/>
      <c r="H34" s="100"/>
      <c r="I34" s="19"/>
      <c r="J34" s="35" t="b">
        <f t="shared" si="0"/>
        <v>0</v>
      </c>
    </row>
    <row r="35" spans="1:10" ht="63" customHeight="1" x14ac:dyDescent="0.3">
      <c r="A35" s="19">
        <v>28</v>
      </c>
      <c r="B35" s="20" t="s">
        <v>507</v>
      </c>
      <c r="C35" s="98" t="s">
        <v>658</v>
      </c>
      <c r="D35" s="99"/>
      <c r="E35" s="99"/>
      <c r="F35" s="99"/>
      <c r="G35" s="99"/>
      <c r="H35" s="100"/>
      <c r="I35" s="19"/>
      <c r="J35" s="35" t="b">
        <f t="shared" si="0"/>
        <v>0</v>
      </c>
    </row>
    <row r="36" spans="1:10" ht="47.25" customHeight="1" x14ac:dyDescent="0.3">
      <c r="A36" s="19">
        <v>29</v>
      </c>
      <c r="B36" s="20" t="s">
        <v>508</v>
      </c>
      <c r="C36" s="98" t="s">
        <v>509</v>
      </c>
      <c r="D36" s="99"/>
      <c r="E36" s="99"/>
      <c r="F36" s="99"/>
      <c r="G36" s="99"/>
      <c r="H36" s="100"/>
      <c r="I36" s="19"/>
      <c r="J36" s="35" t="b">
        <f t="shared" si="0"/>
        <v>0</v>
      </c>
    </row>
    <row r="37" spans="1:10" ht="36" customHeight="1" x14ac:dyDescent="0.3">
      <c r="A37" s="19">
        <v>30</v>
      </c>
      <c r="B37" s="20" t="s">
        <v>510</v>
      </c>
      <c r="C37" s="98" t="s">
        <v>511</v>
      </c>
      <c r="D37" s="99"/>
      <c r="E37" s="99"/>
      <c r="F37" s="99"/>
      <c r="G37" s="99"/>
      <c r="H37" s="100"/>
      <c r="I37" s="19"/>
      <c r="J37" s="35" t="b">
        <f t="shared" si="0"/>
        <v>0</v>
      </c>
    </row>
    <row r="38" spans="1:10" ht="33.75" customHeight="1" x14ac:dyDescent="0.3">
      <c r="A38" s="19">
        <v>31</v>
      </c>
      <c r="B38" s="20" t="s">
        <v>512</v>
      </c>
      <c r="C38" s="98" t="s">
        <v>513</v>
      </c>
      <c r="D38" s="99"/>
      <c r="E38" s="99"/>
      <c r="F38" s="99"/>
      <c r="G38" s="99"/>
      <c r="H38" s="100"/>
      <c r="I38" s="19"/>
      <c r="J38" s="35" t="b">
        <f t="shared" si="0"/>
        <v>0</v>
      </c>
    </row>
    <row r="39" spans="1:10" ht="60" customHeight="1" x14ac:dyDescent="0.3">
      <c r="A39" s="19">
        <v>32</v>
      </c>
      <c r="B39" s="20" t="s">
        <v>514</v>
      </c>
      <c r="C39" s="98" t="s">
        <v>515</v>
      </c>
      <c r="D39" s="99"/>
      <c r="E39" s="99"/>
      <c r="F39" s="99"/>
      <c r="G39" s="99"/>
      <c r="H39" s="100"/>
      <c r="I39" s="19"/>
      <c r="J39" s="35" t="b">
        <f t="shared" si="0"/>
        <v>0</v>
      </c>
    </row>
    <row r="40" spans="1:10" ht="45" customHeight="1" x14ac:dyDescent="0.3">
      <c r="A40" s="19">
        <v>33</v>
      </c>
      <c r="B40" s="20" t="s">
        <v>516</v>
      </c>
      <c r="C40" s="98" t="s">
        <v>517</v>
      </c>
      <c r="D40" s="99"/>
      <c r="E40" s="99"/>
      <c r="F40" s="99"/>
      <c r="G40" s="99"/>
      <c r="H40" s="100"/>
      <c r="I40" s="19"/>
      <c r="J40" s="35" t="b">
        <f t="shared" si="0"/>
        <v>0</v>
      </c>
    </row>
    <row r="41" spans="1:10" ht="43.5" customHeight="1" x14ac:dyDescent="0.3">
      <c r="A41" s="19">
        <v>34</v>
      </c>
      <c r="B41" s="20" t="s">
        <v>518</v>
      </c>
      <c r="C41" s="98" t="s">
        <v>519</v>
      </c>
      <c r="D41" s="99"/>
      <c r="E41" s="99"/>
      <c r="F41" s="99"/>
      <c r="G41" s="99"/>
      <c r="H41" s="100"/>
      <c r="I41" s="19"/>
      <c r="J41" s="35" t="b">
        <f t="shared" si="0"/>
        <v>0</v>
      </c>
    </row>
    <row r="42" spans="1:10" ht="47.25" customHeight="1" x14ac:dyDescent="0.3">
      <c r="A42" s="19">
        <v>35</v>
      </c>
      <c r="B42" s="20" t="s">
        <v>518</v>
      </c>
      <c r="C42" s="98" t="s">
        <v>520</v>
      </c>
      <c r="D42" s="99"/>
      <c r="E42" s="99"/>
      <c r="F42" s="99"/>
      <c r="G42" s="99"/>
      <c r="H42" s="100"/>
      <c r="I42" s="19"/>
      <c r="J42" s="35" t="b">
        <f t="shared" si="0"/>
        <v>0</v>
      </c>
    </row>
    <row r="43" spans="1:10" ht="33" customHeight="1" x14ac:dyDescent="0.3">
      <c r="A43" s="19">
        <v>36</v>
      </c>
      <c r="B43" s="20" t="s">
        <v>521</v>
      </c>
      <c r="C43" s="98" t="s">
        <v>522</v>
      </c>
      <c r="D43" s="99"/>
      <c r="E43" s="99"/>
      <c r="F43" s="99"/>
      <c r="G43" s="99"/>
      <c r="H43" s="100"/>
      <c r="I43" s="19"/>
      <c r="J43" s="35" t="b">
        <f t="shared" si="0"/>
        <v>0</v>
      </c>
    </row>
    <row r="44" spans="1:10" ht="33" customHeight="1" x14ac:dyDescent="0.3">
      <c r="A44" s="19">
        <v>37</v>
      </c>
      <c r="B44" s="20" t="s">
        <v>523</v>
      </c>
      <c r="C44" s="98" t="s">
        <v>524</v>
      </c>
      <c r="D44" s="99"/>
      <c r="E44" s="99"/>
      <c r="F44" s="99"/>
      <c r="G44" s="99"/>
      <c r="H44" s="100"/>
      <c r="I44" s="19"/>
      <c r="J44" s="35" t="b">
        <f t="shared" si="0"/>
        <v>0</v>
      </c>
    </row>
    <row r="45" spans="1:10" ht="33.75" customHeight="1" x14ac:dyDescent="0.3">
      <c r="A45" s="19">
        <v>38</v>
      </c>
      <c r="B45" s="20" t="s">
        <v>525</v>
      </c>
      <c r="C45" s="98" t="s">
        <v>526</v>
      </c>
      <c r="D45" s="99"/>
      <c r="E45" s="99"/>
      <c r="F45" s="99"/>
      <c r="G45" s="99"/>
      <c r="H45" s="100"/>
      <c r="I45" s="19"/>
      <c r="J45" s="35" t="b">
        <f t="shared" si="0"/>
        <v>0</v>
      </c>
    </row>
    <row r="46" spans="1:10" ht="34.5" customHeight="1" x14ac:dyDescent="0.3">
      <c r="A46" s="19">
        <v>39</v>
      </c>
      <c r="B46" s="20" t="s">
        <v>527</v>
      </c>
      <c r="C46" s="98" t="s">
        <v>528</v>
      </c>
      <c r="D46" s="99"/>
      <c r="E46" s="99"/>
      <c r="F46" s="99"/>
      <c r="G46" s="99"/>
      <c r="H46" s="100"/>
      <c r="I46" s="19"/>
      <c r="J46" s="35" t="b">
        <f t="shared" si="0"/>
        <v>0</v>
      </c>
    </row>
    <row r="47" spans="1:10" ht="46.5" customHeight="1" x14ac:dyDescent="0.3">
      <c r="A47" s="19">
        <v>40</v>
      </c>
      <c r="B47" s="20" t="s">
        <v>529</v>
      </c>
      <c r="C47" s="98" t="s">
        <v>530</v>
      </c>
      <c r="D47" s="99"/>
      <c r="E47" s="99"/>
      <c r="F47" s="99"/>
      <c r="G47" s="99"/>
      <c r="H47" s="100"/>
      <c r="I47" s="19"/>
      <c r="J47" s="35" t="b">
        <f t="shared" si="0"/>
        <v>0</v>
      </c>
    </row>
    <row r="48" spans="1:10" ht="15.6" x14ac:dyDescent="0.3">
      <c r="A48" s="46" t="s">
        <v>13</v>
      </c>
      <c r="B48" s="47" t="s">
        <v>14</v>
      </c>
      <c r="C48" s="109" t="s">
        <v>724</v>
      </c>
      <c r="D48" s="110"/>
      <c r="E48" s="110"/>
      <c r="F48" s="110"/>
      <c r="G48" s="110"/>
      <c r="H48" s="112"/>
      <c r="I48" s="55" t="s">
        <v>620</v>
      </c>
      <c r="J48" s="55" t="s">
        <v>621</v>
      </c>
    </row>
    <row r="49" spans="1:10" ht="32.25" customHeight="1" x14ac:dyDescent="0.3">
      <c r="A49" s="19">
        <v>41</v>
      </c>
      <c r="B49" s="20" t="s">
        <v>531</v>
      </c>
      <c r="C49" s="98" t="s">
        <v>532</v>
      </c>
      <c r="D49" s="99"/>
      <c r="E49" s="99"/>
      <c r="F49" s="99"/>
      <c r="G49" s="99"/>
      <c r="H49" s="100"/>
      <c r="I49" s="19"/>
      <c r="J49" s="35" t="b">
        <f t="shared" si="0"/>
        <v>0</v>
      </c>
    </row>
    <row r="50" spans="1:10" ht="36.75" customHeight="1" x14ac:dyDescent="0.3">
      <c r="A50" s="19">
        <v>42</v>
      </c>
      <c r="B50" s="20" t="s">
        <v>533</v>
      </c>
      <c r="C50" s="98" t="s">
        <v>534</v>
      </c>
      <c r="D50" s="99"/>
      <c r="E50" s="99"/>
      <c r="F50" s="99"/>
      <c r="G50" s="99"/>
      <c r="H50" s="100"/>
      <c r="I50" s="19"/>
      <c r="J50" s="35" t="b">
        <f t="shared" si="0"/>
        <v>0</v>
      </c>
    </row>
    <row r="51" spans="1:10" ht="49.5" customHeight="1" x14ac:dyDescent="0.3">
      <c r="A51" s="19">
        <v>43</v>
      </c>
      <c r="B51" s="20" t="s">
        <v>535</v>
      </c>
      <c r="C51" s="98" t="s">
        <v>536</v>
      </c>
      <c r="D51" s="99"/>
      <c r="E51" s="99"/>
      <c r="F51" s="99"/>
      <c r="G51" s="99"/>
      <c r="H51" s="100"/>
      <c r="I51" s="19"/>
      <c r="J51" s="35" t="b">
        <f t="shared" si="0"/>
        <v>0</v>
      </c>
    </row>
    <row r="52" spans="1:10" ht="139.5" customHeight="1" x14ac:dyDescent="0.3">
      <c r="A52" s="19">
        <v>44</v>
      </c>
      <c r="B52" s="20" t="s">
        <v>537</v>
      </c>
      <c r="C52" s="98" t="s">
        <v>659</v>
      </c>
      <c r="D52" s="99"/>
      <c r="E52" s="99"/>
      <c r="F52" s="99"/>
      <c r="G52" s="99"/>
      <c r="H52" s="100"/>
      <c r="I52" s="19"/>
      <c r="J52" s="35" t="b">
        <f t="shared" si="0"/>
        <v>0</v>
      </c>
    </row>
    <row r="53" spans="1:10" ht="48.75" customHeight="1" x14ac:dyDescent="0.3">
      <c r="A53" s="19">
        <v>45</v>
      </c>
      <c r="B53" s="20" t="s">
        <v>538</v>
      </c>
      <c r="C53" s="98" t="s">
        <v>539</v>
      </c>
      <c r="D53" s="99"/>
      <c r="E53" s="99"/>
      <c r="F53" s="99"/>
      <c r="G53" s="99"/>
      <c r="H53" s="100"/>
      <c r="I53" s="19"/>
      <c r="J53" s="35" t="b">
        <f t="shared" si="0"/>
        <v>0</v>
      </c>
    </row>
    <row r="54" spans="1:10" ht="28.5" customHeight="1" x14ac:dyDescent="0.3">
      <c r="A54" s="19">
        <v>46</v>
      </c>
      <c r="B54" s="20" t="s">
        <v>540</v>
      </c>
      <c r="C54" s="98" t="s">
        <v>541</v>
      </c>
      <c r="D54" s="99"/>
      <c r="E54" s="99"/>
      <c r="F54" s="99"/>
      <c r="G54" s="99"/>
      <c r="H54" s="100"/>
      <c r="I54" s="19"/>
      <c r="J54" s="35" t="b">
        <f t="shared" si="0"/>
        <v>0</v>
      </c>
    </row>
    <row r="55" spans="1:10" ht="63.75" customHeight="1" x14ac:dyDescent="0.3">
      <c r="A55" s="19">
        <v>47</v>
      </c>
      <c r="B55" s="20" t="s">
        <v>542</v>
      </c>
      <c r="C55" s="98" t="s">
        <v>543</v>
      </c>
      <c r="D55" s="99"/>
      <c r="E55" s="99"/>
      <c r="F55" s="99"/>
      <c r="G55" s="99"/>
      <c r="H55" s="100"/>
      <c r="I55" s="19"/>
      <c r="J55" s="35" t="b">
        <f t="shared" si="0"/>
        <v>0</v>
      </c>
    </row>
    <row r="56" spans="1:10" ht="51" customHeight="1" x14ac:dyDescent="0.3">
      <c r="A56" s="19">
        <v>48</v>
      </c>
      <c r="B56" s="20" t="s">
        <v>544</v>
      </c>
      <c r="C56" s="98" t="s">
        <v>545</v>
      </c>
      <c r="D56" s="99"/>
      <c r="E56" s="99"/>
      <c r="F56" s="99"/>
      <c r="G56" s="99"/>
      <c r="H56" s="100"/>
      <c r="I56" s="19"/>
      <c r="J56" s="35" t="b">
        <f t="shared" si="0"/>
        <v>0</v>
      </c>
    </row>
    <row r="57" spans="1:10" ht="64.5" customHeight="1" x14ac:dyDescent="0.3">
      <c r="A57" s="19">
        <v>49</v>
      </c>
      <c r="B57" s="20" t="s">
        <v>546</v>
      </c>
      <c r="C57" s="98" t="s">
        <v>547</v>
      </c>
      <c r="D57" s="99"/>
      <c r="E57" s="99"/>
      <c r="F57" s="99"/>
      <c r="G57" s="99"/>
      <c r="H57" s="100"/>
      <c r="I57" s="19"/>
      <c r="J57" s="35" t="b">
        <f t="shared" si="0"/>
        <v>0</v>
      </c>
    </row>
    <row r="58" spans="1:10" ht="57" customHeight="1" x14ac:dyDescent="0.3">
      <c r="A58" s="19">
        <v>50</v>
      </c>
      <c r="B58" s="20" t="s">
        <v>548</v>
      </c>
      <c r="C58" s="98" t="s">
        <v>549</v>
      </c>
      <c r="D58" s="99"/>
      <c r="E58" s="99"/>
      <c r="F58" s="99"/>
      <c r="G58" s="99"/>
      <c r="H58" s="100"/>
      <c r="I58" s="19"/>
      <c r="J58" s="35" t="b">
        <f t="shared" si="0"/>
        <v>0</v>
      </c>
    </row>
    <row r="59" spans="1:10" ht="59.25" customHeight="1" x14ac:dyDescent="0.3">
      <c r="A59" s="19">
        <v>51</v>
      </c>
      <c r="B59" s="20" t="s">
        <v>550</v>
      </c>
      <c r="C59" s="98" t="s">
        <v>551</v>
      </c>
      <c r="D59" s="99"/>
      <c r="E59" s="99"/>
      <c r="F59" s="99"/>
      <c r="G59" s="99"/>
      <c r="H59" s="100"/>
      <c r="I59" s="19"/>
      <c r="J59" s="35" t="b">
        <f t="shared" si="0"/>
        <v>0</v>
      </c>
    </row>
    <row r="60" spans="1:10" ht="68.25" customHeight="1" x14ac:dyDescent="0.3">
      <c r="A60" s="19">
        <v>52</v>
      </c>
      <c r="B60" s="20" t="s">
        <v>552</v>
      </c>
      <c r="C60" s="98" t="s">
        <v>553</v>
      </c>
      <c r="D60" s="99"/>
      <c r="E60" s="99"/>
      <c r="F60" s="99"/>
      <c r="G60" s="99"/>
      <c r="H60" s="100"/>
      <c r="I60" s="19"/>
      <c r="J60" s="35" t="b">
        <f t="shared" si="0"/>
        <v>0</v>
      </c>
    </row>
    <row r="61" spans="1:10" ht="66" customHeight="1" x14ac:dyDescent="0.3">
      <c r="A61" s="19">
        <v>53</v>
      </c>
      <c r="B61" s="20" t="s">
        <v>554</v>
      </c>
      <c r="C61" s="98" t="s">
        <v>555</v>
      </c>
      <c r="D61" s="99"/>
      <c r="E61" s="99"/>
      <c r="F61" s="99"/>
      <c r="G61" s="99"/>
      <c r="H61" s="100"/>
      <c r="I61" s="19"/>
      <c r="J61" s="35" t="b">
        <f t="shared" si="0"/>
        <v>0</v>
      </c>
    </row>
    <row r="62" spans="1:10" ht="75.75" customHeight="1" x14ac:dyDescent="0.3">
      <c r="A62" s="19">
        <v>54</v>
      </c>
      <c r="B62" s="20" t="s">
        <v>556</v>
      </c>
      <c r="C62" s="98" t="s">
        <v>557</v>
      </c>
      <c r="D62" s="99"/>
      <c r="E62" s="99"/>
      <c r="F62" s="99"/>
      <c r="G62" s="99"/>
      <c r="H62" s="100"/>
      <c r="I62" s="19"/>
      <c r="J62" s="35" t="b">
        <f t="shared" si="0"/>
        <v>0</v>
      </c>
    </row>
    <row r="63" spans="1:10" ht="95.25" customHeight="1" x14ac:dyDescent="0.3">
      <c r="A63" s="19">
        <v>55</v>
      </c>
      <c r="B63" s="20" t="s">
        <v>558</v>
      </c>
      <c r="C63" s="98" t="s">
        <v>559</v>
      </c>
      <c r="D63" s="99"/>
      <c r="E63" s="99"/>
      <c r="F63" s="99"/>
      <c r="G63" s="99"/>
      <c r="H63" s="100"/>
      <c r="I63" s="19"/>
      <c r="J63" s="35" t="b">
        <f t="shared" si="0"/>
        <v>0</v>
      </c>
    </row>
    <row r="64" spans="1:10" ht="34.5" customHeight="1" x14ac:dyDescent="0.3">
      <c r="A64" s="19">
        <v>56</v>
      </c>
      <c r="B64" s="20" t="s">
        <v>560</v>
      </c>
      <c r="C64" s="98" t="s">
        <v>561</v>
      </c>
      <c r="D64" s="99"/>
      <c r="E64" s="99"/>
      <c r="F64" s="99"/>
      <c r="G64" s="99"/>
      <c r="H64" s="100"/>
      <c r="I64" s="19"/>
      <c r="J64" s="35" t="b">
        <f t="shared" si="0"/>
        <v>0</v>
      </c>
    </row>
    <row r="65" spans="1:10" ht="32.25" customHeight="1" x14ac:dyDescent="0.3">
      <c r="A65" s="19">
        <v>57</v>
      </c>
      <c r="B65" s="20" t="s">
        <v>562</v>
      </c>
      <c r="C65" s="98" t="s">
        <v>563</v>
      </c>
      <c r="D65" s="99"/>
      <c r="E65" s="99"/>
      <c r="F65" s="99"/>
      <c r="G65" s="99"/>
      <c r="H65" s="100"/>
      <c r="I65" s="19"/>
      <c r="J65" s="35" t="b">
        <f t="shared" si="0"/>
        <v>0</v>
      </c>
    </row>
    <row r="66" spans="1:10" ht="67.5" customHeight="1" x14ac:dyDescent="0.3">
      <c r="A66" s="19">
        <v>58</v>
      </c>
      <c r="B66" s="20" t="s">
        <v>564</v>
      </c>
      <c r="C66" s="98" t="s">
        <v>565</v>
      </c>
      <c r="D66" s="99"/>
      <c r="E66" s="99"/>
      <c r="F66" s="99"/>
      <c r="G66" s="99"/>
      <c r="H66" s="100"/>
      <c r="I66" s="19"/>
      <c r="J66" s="35" t="b">
        <f t="shared" si="0"/>
        <v>0</v>
      </c>
    </row>
    <row r="67" spans="1:10" ht="49.5" customHeight="1" x14ac:dyDescent="0.3">
      <c r="A67" s="19">
        <v>59</v>
      </c>
      <c r="B67" s="20" t="s">
        <v>566</v>
      </c>
      <c r="C67" s="98" t="s">
        <v>567</v>
      </c>
      <c r="D67" s="99"/>
      <c r="E67" s="99"/>
      <c r="F67" s="99"/>
      <c r="G67" s="99"/>
      <c r="H67" s="100"/>
      <c r="I67" s="19"/>
      <c r="J67" s="35" t="b">
        <f t="shared" si="0"/>
        <v>0</v>
      </c>
    </row>
    <row r="68" spans="1:10" ht="30" customHeight="1" x14ac:dyDescent="0.3">
      <c r="A68" s="19">
        <v>60</v>
      </c>
      <c r="B68" s="20" t="s">
        <v>568</v>
      </c>
      <c r="C68" s="98" t="s">
        <v>569</v>
      </c>
      <c r="D68" s="99"/>
      <c r="E68" s="99"/>
      <c r="F68" s="99"/>
      <c r="G68" s="99"/>
      <c r="H68" s="100"/>
      <c r="I68" s="19"/>
      <c r="J68" s="35" t="b">
        <f t="shared" si="0"/>
        <v>0</v>
      </c>
    </row>
    <row r="69" spans="1:10" ht="51" customHeight="1" x14ac:dyDescent="0.3">
      <c r="A69" s="19">
        <v>61</v>
      </c>
      <c r="B69" s="20" t="s">
        <v>568</v>
      </c>
      <c r="C69" s="98" t="s">
        <v>570</v>
      </c>
      <c r="D69" s="99"/>
      <c r="E69" s="99"/>
      <c r="F69" s="99"/>
      <c r="G69" s="99"/>
      <c r="H69" s="100"/>
      <c r="I69" s="19"/>
      <c r="J69" s="35" t="b">
        <f t="shared" si="0"/>
        <v>0</v>
      </c>
    </row>
    <row r="70" spans="1:10" ht="64.5" customHeight="1" x14ac:dyDescent="0.3">
      <c r="A70" s="19">
        <v>62</v>
      </c>
      <c r="B70" s="20" t="s">
        <v>571</v>
      </c>
      <c r="C70" s="98" t="s">
        <v>572</v>
      </c>
      <c r="D70" s="99"/>
      <c r="E70" s="99"/>
      <c r="F70" s="99"/>
      <c r="G70" s="99"/>
      <c r="H70" s="100"/>
      <c r="I70" s="19"/>
      <c r="J70" s="35" t="b">
        <f t="shared" si="0"/>
        <v>0</v>
      </c>
    </row>
    <row r="71" spans="1:10" ht="66" customHeight="1" x14ac:dyDescent="0.3">
      <c r="A71" s="19">
        <v>63</v>
      </c>
      <c r="B71" s="20" t="s">
        <v>573</v>
      </c>
      <c r="C71" s="98" t="s">
        <v>574</v>
      </c>
      <c r="D71" s="99"/>
      <c r="E71" s="99"/>
      <c r="F71" s="99"/>
      <c r="G71" s="99"/>
      <c r="H71" s="100"/>
      <c r="I71" s="19"/>
      <c r="J71" s="35" t="b">
        <f t="shared" si="0"/>
        <v>0</v>
      </c>
    </row>
    <row r="72" spans="1:10" ht="45" customHeight="1" x14ac:dyDescent="0.3">
      <c r="A72" s="19">
        <v>64</v>
      </c>
      <c r="B72" s="20" t="s">
        <v>575</v>
      </c>
      <c r="C72" s="98" t="s">
        <v>576</v>
      </c>
      <c r="D72" s="99"/>
      <c r="E72" s="99"/>
      <c r="F72" s="99"/>
      <c r="G72" s="99"/>
      <c r="H72" s="100"/>
      <c r="I72" s="19"/>
      <c r="J72" s="35" t="b">
        <f t="shared" ref="J72:J85" si="1">IF(I72="No cumple",0,IF(I72="No aplica",2,IF(I72="Cumple totalmente",2,IF(I72="Cumple parcialmente",1))))</f>
        <v>0</v>
      </c>
    </row>
    <row r="73" spans="1:10" ht="62.25" customHeight="1" x14ac:dyDescent="0.3">
      <c r="A73" s="19">
        <v>65</v>
      </c>
      <c r="B73" s="20" t="s">
        <v>577</v>
      </c>
      <c r="C73" s="98" t="s">
        <v>578</v>
      </c>
      <c r="D73" s="99"/>
      <c r="E73" s="99"/>
      <c r="F73" s="99"/>
      <c r="G73" s="99"/>
      <c r="H73" s="100"/>
      <c r="I73" s="19"/>
      <c r="J73" s="35" t="b">
        <f t="shared" si="1"/>
        <v>0</v>
      </c>
    </row>
    <row r="74" spans="1:10" ht="47.25" customHeight="1" x14ac:dyDescent="0.3">
      <c r="A74" s="19">
        <v>66</v>
      </c>
      <c r="B74" s="20" t="s">
        <v>579</v>
      </c>
      <c r="C74" s="98" t="s">
        <v>580</v>
      </c>
      <c r="D74" s="99"/>
      <c r="E74" s="99"/>
      <c r="F74" s="99"/>
      <c r="G74" s="99"/>
      <c r="H74" s="100"/>
      <c r="I74" s="19"/>
      <c r="J74" s="35" t="b">
        <f t="shared" si="1"/>
        <v>0</v>
      </c>
    </row>
    <row r="75" spans="1:10" ht="47.25" customHeight="1" x14ac:dyDescent="0.3">
      <c r="A75" s="19">
        <v>67</v>
      </c>
      <c r="B75" s="20" t="s">
        <v>581</v>
      </c>
      <c r="C75" s="98" t="s">
        <v>582</v>
      </c>
      <c r="D75" s="99"/>
      <c r="E75" s="99"/>
      <c r="F75" s="99"/>
      <c r="G75" s="99"/>
      <c r="H75" s="100"/>
      <c r="I75" s="19"/>
      <c r="J75" s="35" t="b">
        <f t="shared" si="1"/>
        <v>0</v>
      </c>
    </row>
    <row r="76" spans="1:10" ht="43.5" customHeight="1" x14ac:dyDescent="0.3">
      <c r="A76" s="19">
        <v>68</v>
      </c>
      <c r="B76" s="20" t="s">
        <v>583</v>
      </c>
      <c r="C76" s="98" t="s">
        <v>584</v>
      </c>
      <c r="D76" s="99"/>
      <c r="E76" s="99"/>
      <c r="F76" s="99"/>
      <c r="G76" s="99"/>
      <c r="H76" s="100"/>
      <c r="I76" s="19"/>
      <c r="J76" s="35" t="b">
        <f t="shared" si="1"/>
        <v>0</v>
      </c>
    </row>
    <row r="77" spans="1:10" ht="48.75" customHeight="1" x14ac:dyDescent="0.3">
      <c r="A77" s="19">
        <v>69</v>
      </c>
      <c r="B77" s="20" t="s">
        <v>585</v>
      </c>
      <c r="C77" s="98" t="s">
        <v>586</v>
      </c>
      <c r="D77" s="99"/>
      <c r="E77" s="99"/>
      <c r="F77" s="99"/>
      <c r="G77" s="99"/>
      <c r="H77" s="100"/>
      <c r="I77" s="19"/>
      <c r="J77" s="35" t="b">
        <f t="shared" si="1"/>
        <v>0</v>
      </c>
    </row>
    <row r="78" spans="1:10" ht="48" customHeight="1" x14ac:dyDescent="0.3">
      <c r="A78" s="19">
        <v>70</v>
      </c>
      <c r="B78" s="20" t="s">
        <v>587</v>
      </c>
      <c r="C78" s="98" t="s">
        <v>588</v>
      </c>
      <c r="D78" s="99"/>
      <c r="E78" s="99"/>
      <c r="F78" s="99"/>
      <c r="G78" s="99"/>
      <c r="H78" s="100"/>
      <c r="I78" s="19"/>
      <c r="J78" s="35" t="b">
        <f t="shared" si="1"/>
        <v>0</v>
      </c>
    </row>
    <row r="79" spans="1:10" ht="63" customHeight="1" x14ac:dyDescent="0.3">
      <c r="A79" s="19">
        <v>71</v>
      </c>
      <c r="B79" s="20" t="s">
        <v>589</v>
      </c>
      <c r="C79" s="98" t="s">
        <v>590</v>
      </c>
      <c r="D79" s="99"/>
      <c r="E79" s="99"/>
      <c r="F79" s="99"/>
      <c r="G79" s="99"/>
      <c r="H79" s="100"/>
      <c r="I79" s="19"/>
      <c r="J79" s="35" t="b">
        <f t="shared" si="1"/>
        <v>0</v>
      </c>
    </row>
    <row r="80" spans="1:10" ht="35.25" customHeight="1" x14ac:dyDescent="0.3">
      <c r="A80" s="19">
        <v>72</v>
      </c>
      <c r="B80" s="20" t="s">
        <v>591</v>
      </c>
      <c r="C80" s="98" t="s">
        <v>660</v>
      </c>
      <c r="D80" s="99"/>
      <c r="E80" s="99"/>
      <c r="F80" s="99"/>
      <c r="G80" s="99"/>
      <c r="H80" s="100"/>
      <c r="I80" s="19"/>
      <c r="J80" s="35" t="b">
        <f t="shared" si="1"/>
        <v>0</v>
      </c>
    </row>
    <row r="81" spans="1:10" ht="48.75" customHeight="1" x14ac:dyDescent="0.3">
      <c r="A81" s="19">
        <v>73</v>
      </c>
      <c r="B81" s="20" t="s">
        <v>592</v>
      </c>
      <c r="C81" s="98" t="s">
        <v>593</v>
      </c>
      <c r="D81" s="99"/>
      <c r="E81" s="99"/>
      <c r="F81" s="99"/>
      <c r="G81" s="99"/>
      <c r="H81" s="100"/>
      <c r="I81" s="19"/>
      <c r="J81" s="35" t="b">
        <f t="shared" si="1"/>
        <v>0</v>
      </c>
    </row>
    <row r="82" spans="1:10" ht="34.5" customHeight="1" x14ac:dyDescent="0.3">
      <c r="A82" s="19">
        <v>74</v>
      </c>
      <c r="B82" s="20" t="s">
        <v>594</v>
      </c>
      <c r="C82" s="98" t="s">
        <v>595</v>
      </c>
      <c r="D82" s="99"/>
      <c r="E82" s="99"/>
      <c r="F82" s="99"/>
      <c r="G82" s="99"/>
      <c r="H82" s="100"/>
      <c r="I82" s="19"/>
      <c r="J82" s="35" t="b">
        <f t="shared" si="1"/>
        <v>0</v>
      </c>
    </row>
    <row r="83" spans="1:10" x14ac:dyDescent="0.3">
      <c r="A83" s="19">
        <v>75</v>
      </c>
      <c r="B83" s="20" t="s">
        <v>596</v>
      </c>
      <c r="C83" s="98" t="s">
        <v>597</v>
      </c>
      <c r="D83" s="99"/>
      <c r="E83" s="99"/>
      <c r="F83" s="99"/>
      <c r="G83" s="99"/>
      <c r="H83" s="100"/>
      <c r="I83" s="19"/>
      <c r="J83" s="35" t="b">
        <f t="shared" si="1"/>
        <v>0</v>
      </c>
    </row>
    <row r="84" spans="1:10" x14ac:dyDescent="0.3">
      <c r="A84" s="19">
        <v>76</v>
      </c>
      <c r="B84" s="20" t="s">
        <v>598</v>
      </c>
      <c r="C84" s="98" t="s">
        <v>599</v>
      </c>
      <c r="D84" s="99"/>
      <c r="E84" s="99"/>
      <c r="F84" s="99"/>
      <c r="G84" s="99"/>
      <c r="H84" s="100"/>
      <c r="I84" s="19"/>
      <c r="J84" s="35" t="b">
        <f t="shared" si="1"/>
        <v>0</v>
      </c>
    </row>
    <row r="85" spans="1:10" ht="75" customHeight="1" x14ac:dyDescent="0.3">
      <c r="A85" s="19">
        <v>77</v>
      </c>
      <c r="B85" s="19" t="s">
        <v>600</v>
      </c>
      <c r="C85" s="98" t="s">
        <v>661</v>
      </c>
      <c r="D85" s="99"/>
      <c r="E85" s="99"/>
      <c r="F85" s="99"/>
      <c r="G85" s="99"/>
      <c r="H85" s="100"/>
      <c r="I85" s="19"/>
      <c r="J85" s="35" t="b">
        <f t="shared" si="1"/>
        <v>0</v>
      </c>
    </row>
    <row r="86" spans="1:10" x14ac:dyDescent="0.3">
      <c r="J86" s="38"/>
    </row>
    <row r="87" spans="1:10" x14ac:dyDescent="0.3">
      <c r="J87" s="38"/>
    </row>
    <row r="88" spans="1:10" x14ac:dyDescent="0.3">
      <c r="J88" s="38"/>
    </row>
    <row r="89" spans="1:10" x14ac:dyDescent="0.3">
      <c r="J89" s="38"/>
    </row>
    <row r="90" spans="1:10" x14ac:dyDescent="0.3">
      <c r="J90" s="38"/>
    </row>
    <row r="91" spans="1:10" x14ac:dyDescent="0.3">
      <c r="J91" s="38"/>
    </row>
    <row r="92" spans="1:10" x14ac:dyDescent="0.3">
      <c r="J92" s="38"/>
    </row>
    <row r="93" spans="1:10" x14ac:dyDescent="0.3">
      <c r="J93" s="38"/>
    </row>
    <row r="94" spans="1:10" x14ac:dyDescent="0.3">
      <c r="J94" s="38"/>
    </row>
    <row r="95" spans="1:10" x14ac:dyDescent="0.3">
      <c r="J95" s="38"/>
    </row>
    <row r="96" spans="1:10" x14ac:dyDescent="0.3">
      <c r="J96" s="38"/>
    </row>
    <row r="97" spans="10:10" x14ac:dyDescent="0.3">
      <c r="J97" s="38"/>
    </row>
    <row r="98" spans="10:10" x14ac:dyDescent="0.3">
      <c r="J98" s="38"/>
    </row>
    <row r="99" spans="10:10" x14ac:dyDescent="0.3">
      <c r="J99" s="38"/>
    </row>
    <row r="100" spans="10:10" x14ac:dyDescent="0.3">
      <c r="J100" s="38"/>
    </row>
    <row r="101" spans="10:10" x14ac:dyDescent="0.3">
      <c r="J101" s="38"/>
    </row>
    <row r="102" spans="10:10" x14ac:dyDescent="0.3">
      <c r="J102" s="38"/>
    </row>
    <row r="103" spans="10:10" x14ac:dyDescent="0.3">
      <c r="J103" s="38"/>
    </row>
    <row r="104" spans="10:10" x14ac:dyDescent="0.3">
      <c r="J104" s="38"/>
    </row>
    <row r="105" spans="10:10" x14ac:dyDescent="0.3">
      <c r="J105" s="38"/>
    </row>
    <row r="106" spans="10:10" x14ac:dyDescent="0.3">
      <c r="J106" s="38"/>
    </row>
    <row r="107" spans="10:10" x14ac:dyDescent="0.3">
      <c r="J107" s="38"/>
    </row>
    <row r="108" spans="10:10" x14ac:dyDescent="0.3">
      <c r="J108" s="38"/>
    </row>
    <row r="109" spans="10:10" x14ac:dyDescent="0.3">
      <c r="J109" s="38"/>
    </row>
    <row r="110" spans="10:10" x14ac:dyDescent="0.3">
      <c r="J110" s="38"/>
    </row>
    <row r="111" spans="10:10" x14ac:dyDescent="0.3">
      <c r="J111" s="38"/>
    </row>
    <row r="112" spans="10:10" x14ac:dyDescent="0.3">
      <c r="J112" s="38"/>
    </row>
    <row r="113" spans="10:10" x14ac:dyDescent="0.3">
      <c r="J113" s="38"/>
    </row>
    <row r="114" spans="10:10" x14ac:dyDescent="0.3">
      <c r="J114" s="38"/>
    </row>
    <row r="115" spans="10:10" x14ac:dyDescent="0.3">
      <c r="J115" s="38"/>
    </row>
    <row r="116" spans="10:10" x14ac:dyDescent="0.3">
      <c r="J116" s="38"/>
    </row>
    <row r="117" spans="10:10" x14ac:dyDescent="0.3">
      <c r="J117" s="38"/>
    </row>
    <row r="118" spans="10:10" x14ac:dyDescent="0.3">
      <c r="J118" s="38"/>
    </row>
    <row r="119" spans="10:10" x14ac:dyDescent="0.3">
      <c r="J119" s="38"/>
    </row>
  </sheetData>
  <mergeCells count="83">
    <mergeCell ref="C76:H76"/>
    <mergeCell ref="C65:H65"/>
    <mergeCell ref="C85:H85"/>
    <mergeCell ref="C77:H77"/>
    <mergeCell ref="C78:H78"/>
    <mergeCell ref="C79:H79"/>
    <mergeCell ref="C80:H80"/>
    <mergeCell ref="C81:H81"/>
    <mergeCell ref="C82:H82"/>
    <mergeCell ref="C83:H83"/>
    <mergeCell ref="C84:H84"/>
    <mergeCell ref="C69:H69"/>
    <mergeCell ref="C75:H75"/>
    <mergeCell ref="C71:H71"/>
    <mergeCell ref="C72:H72"/>
    <mergeCell ref="A1:J1"/>
    <mergeCell ref="A2:J4"/>
    <mergeCell ref="C73:H73"/>
    <mergeCell ref="C74:H74"/>
    <mergeCell ref="C26:H26"/>
    <mergeCell ref="C64:H64"/>
    <mergeCell ref="C53:H53"/>
    <mergeCell ref="C54:H54"/>
    <mergeCell ref="C55:H55"/>
    <mergeCell ref="C70:H70"/>
    <mergeCell ref="C56:H56"/>
    <mergeCell ref="C57:H57"/>
    <mergeCell ref="C58:H58"/>
    <mergeCell ref="C59:H59"/>
    <mergeCell ref="C60:H60"/>
    <mergeCell ref="C61:H61"/>
    <mergeCell ref="C62:H62"/>
    <mergeCell ref="C63:H63"/>
    <mergeCell ref="C66:H66"/>
    <mergeCell ref="C67:H67"/>
    <mergeCell ref="C68:H68"/>
    <mergeCell ref="C52:H52"/>
    <mergeCell ref="C41:H41"/>
    <mergeCell ref="C42:H42"/>
    <mergeCell ref="C43:H43"/>
    <mergeCell ref="C44:H44"/>
    <mergeCell ref="C45:H45"/>
    <mergeCell ref="C46:H46"/>
    <mergeCell ref="C47:H47"/>
    <mergeCell ref="C48:H48"/>
    <mergeCell ref="C49:H49"/>
    <mergeCell ref="C50:H50"/>
    <mergeCell ref="C51:H51"/>
    <mergeCell ref="C40:H40"/>
    <mergeCell ref="C29:H29"/>
    <mergeCell ref="C30:H30"/>
    <mergeCell ref="C31:H31"/>
    <mergeCell ref="C32:H32"/>
    <mergeCell ref="C33:H33"/>
    <mergeCell ref="C34:H34"/>
    <mergeCell ref="C35:H35"/>
    <mergeCell ref="C36:H36"/>
    <mergeCell ref="C37:H37"/>
    <mergeCell ref="C38:H38"/>
    <mergeCell ref="C39:H39"/>
    <mergeCell ref="A5:J5"/>
    <mergeCell ref="C6:H6"/>
    <mergeCell ref="C28:H28"/>
    <mergeCell ref="C17:H17"/>
    <mergeCell ref="C18:H18"/>
    <mergeCell ref="C19:H19"/>
    <mergeCell ref="C20:H20"/>
    <mergeCell ref="C21:H21"/>
    <mergeCell ref="C22:H22"/>
    <mergeCell ref="C23:H23"/>
    <mergeCell ref="C24:H24"/>
    <mergeCell ref="C25:H25"/>
    <mergeCell ref="C27:H27"/>
    <mergeCell ref="C16:H16"/>
    <mergeCell ref="C7:H7"/>
    <mergeCell ref="C8:H8"/>
    <mergeCell ref="C9:H9"/>
    <mergeCell ref="C10:H10"/>
    <mergeCell ref="C14:H14"/>
    <mergeCell ref="C15:H15"/>
    <mergeCell ref="C11:H11"/>
    <mergeCell ref="C12:H12"/>
    <mergeCell ref="C13:H1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Lista!$C$2:$C$5</xm:f>
          </x14:formula1>
          <xm:sqref>I7:I25 I27:I47 I49:I85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5:K109"/>
  <sheetViews>
    <sheetView zoomScaleNormal="100" workbookViewId="0">
      <selection activeCell="A8" sqref="A8"/>
    </sheetView>
  </sheetViews>
  <sheetFormatPr baseColWidth="10" defaultColWidth="10.77734375" defaultRowHeight="17.399999999999999" x14ac:dyDescent="0.3"/>
  <cols>
    <col min="1" max="1" width="9.77734375" style="12" customWidth="1"/>
    <col min="2" max="2" width="17.5546875" style="12" customWidth="1"/>
    <col min="3" max="6" width="10.77734375" style="9"/>
    <col min="7" max="7" width="13.77734375" style="9" customWidth="1"/>
    <col min="8" max="8" width="15.21875" style="9" customWidth="1"/>
    <col min="9" max="9" width="19.5546875" style="48" customWidth="1"/>
    <col min="10" max="10" width="17.21875" style="36" customWidth="1"/>
    <col min="11" max="16384" width="10.77734375" style="9"/>
  </cols>
  <sheetData>
    <row r="5" spans="1:11" x14ac:dyDescent="0.2">
      <c r="A5" s="70" t="s">
        <v>753</v>
      </c>
    </row>
    <row r="6" spans="1:11" ht="59.25" customHeight="1" x14ac:dyDescent="0.3">
      <c r="A6" s="95" t="s">
        <v>11</v>
      </c>
      <c r="B6" s="95"/>
      <c r="C6" s="95"/>
      <c r="D6" s="95"/>
      <c r="E6" s="95"/>
      <c r="F6" s="95"/>
      <c r="G6" s="95"/>
      <c r="H6" s="95"/>
      <c r="I6" s="95"/>
      <c r="J6" s="95"/>
      <c r="K6" s="8"/>
    </row>
    <row r="7" spans="1:11" ht="18" customHeight="1" x14ac:dyDescent="0.3">
      <c r="A7" s="13" t="s">
        <v>13</v>
      </c>
      <c r="B7" s="22" t="s">
        <v>14</v>
      </c>
      <c r="C7" s="96" t="s">
        <v>727</v>
      </c>
      <c r="D7" s="97"/>
      <c r="E7" s="97"/>
      <c r="F7" s="97"/>
      <c r="G7" s="97"/>
      <c r="H7" s="97"/>
      <c r="I7" s="54" t="s">
        <v>620</v>
      </c>
      <c r="J7" s="55" t="s">
        <v>621</v>
      </c>
    </row>
    <row r="8" spans="1:11" ht="46.5" customHeight="1" x14ac:dyDescent="0.3">
      <c r="A8" s="19">
        <v>1</v>
      </c>
      <c r="B8" s="20" t="s">
        <v>601</v>
      </c>
      <c r="C8" s="86" t="s">
        <v>635</v>
      </c>
      <c r="D8" s="87"/>
      <c r="E8" s="87"/>
      <c r="F8" s="87"/>
      <c r="G8" s="87"/>
      <c r="H8" s="88"/>
      <c r="I8" s="19"/>
      <c r="J8" s="35" t="b">
        <f>IF(I8="No cumple",0,IF(I8="No aplica",2,IF(I8="Cumple totalmente",2,IF(I8="Cumple parcialmente",1))))</f>
        <v>0</v>
      </c>
    </row>
    <row r="9" spans="1:11" ht="66" customHeight="1" x14ac:dyDescent="0.3">
      <c r="A9" s="19">
        <v>2</v>
      </c>
      <c r="B9" s="20" t="s">
        <v>601</v>
      </c>
      <c r="C9" s="86" t="s">
        <v>636</v>
      </c>
      <c r="D9" s="87"/>
      <c r="E9" s="87"/>
      <c r="F9" s="87"/>
      <c r="G9" s="87"/>
      <c r="H9" s="88"/>
      <c r="I9" s="19"/>
      <c r="J9" s="35" t="b">
        <f t="shared" ref="J9:J34" si="0">IF(I9="No cumple",0,IF(I9="No aplica",2,IF(I9="Cumple totalmente",2,IF(I9="Cumple parcialmente",1))))</f>
        <v>0</v>
      </c>
    </row>
    <row r="10" spans="1:11" ht="57.75" customHeight="1" x14ac:dyDescent="0.3">
      <c r="A10" s="19">
        <v>3</v>
      </c>
      <c r="B10" s="20" t="s">
        <v>601</v>
      </c>
      <c r="C10" s="86" t="s">
        <v>648</v>
      </c>
      <c r="D10" s="87"/>
      <c r="E10" s="87"/>
      <c r="F10" s="87"/>
      <c r="G10" s="87"/>
      <c r="H10" s="88"/>
      <c r="I10" s="19"/>
      <c r="J10" s="35" t="b">
        <f t="shared" si="0"/>
        <v>0</v>
      </c>
    </row>
    <row r="11" spans="1:11" ht="63" customHeight="1" x14ac:dyDescent="0.3">
      <c r="A11" s="19">
        <v>4</v>
      </c>
      <c r="B11" s="20" t="s">
        <v>601</v>
      </c>
      <c r="C11" s="86" t="s">
        <v>637</v>
      </c>
      <c r="D11" s="87"/>
      <c r="E11" s="87"/>
      <c r="F11" s="87"/>
      <c r="G11" s="87"/>
      <c r="H11" s="88"/>
      <c r="I11" s="19"/>
      <c r="J11" s="35" t="b">
        <f t="shared" si="0"/>
        <v>0</v>
      </c>
    </row>
    <row r="12" spans="1:11" ht="30.75" customHeight="1" x14ac:dyDescent="0.3">
      <c r="A12" s="13"/>
      <c r="B12" s="22"/>
      <c r="C12" s="96" t="s">
        <v>728</v>
      </c>
      <c r="D12" s="97"/>
      <c r="E12" s="97"/>
      <c r="F12" s="97"/>
      <c r="G12" s="97"/>
      <c r="H12" s="97"/>
      <c r="I12" s="54" t="s">
        <v>620</v>
      </c>
      <c r="J12" s="55" t="s">
        <v>621</v>
      </c>
    </row>
    <row r="13" spans="1:11" ht="61.5" customHeight="1" x14ac:dyDescent="0.3">
      <c r="A13" s="19">
        <v>5</v>
      </c>
      <c r="B13" s="20" t="s">
        <v>602</v>
      </c>
      <c r="C13" s="86" t="s">
        <v>649</v>
      </c>
      <c r="D13" s="87"/>
      <c r="E13" s="87"/>
      <c r="F13" s="87"/>
      <c r="G13" s="87"/>
      <c r="H13" s="88"/>
      <c r="I13" s="19"/>
      <c r="J13" s="35" t="b">
        <f t="shared" si="0"/>
        <v>0</v>
      </c>
    </row>
    <row r="14" spans="1:11" ht="45" customHeight="1" x14ac:dyDescent="0.3">
      <c r="A14" s="19">
        <v>6</v>
      </c>
      <c r="B14" s="20" t="s">
        <v>602</v>
      </c>
      <c r="C14" s="86" t="s">
        <v>650</v>
      </c>
      <c r="D14" s="87"/>
      <c r="E14" s="87"/>
      <c r="F14" s="87"/>
      <c r="G14" s="87"/>
      <c r="H14" s="88"/>
      <c r="I14" s="19"/>
      <c r="J14" s="35" t="b">
        <f t="shared" si="0"/>
        <v>0</v>
      </c>
    </row>
    <row r="15" spans="1:11" ht="62.25" customHeight="1" x14ac:dyDescent="0.3">
      <c r="A15" s="19">
        <v>7</v>
      </c>
      <c r="B15" s="20" t="s">
        <v>602</v>
      </c>
      <c r="C15" s="86" t="s">
        <v>651</v>
      </c>
      <c r="D15" s="87"/>
      <c r="E15" s="87"/>
      <c r="F15" s="87"/>
      <c r="G15" s="87"/>
      <c r="H15" s="88"/>
      <c r="I15" s="19"/>
      <c r="J15" s="35" t="b">
        <f t="shared" si="0"/>
        <v>0</v>
      </c>
    </row>
    <row r="16" spans="1:11" ht="77.25" customHeight="1" x14ac:dyDescent="0.3">
      <c r="A16" s="19">
        <v>8</v>
      </c>
      <c r="B16" s="20" t="s">
        <v>602</v>
      </c>
      <c r="C16" s="86" t="s">
        <v>638</v>
      </c>
      <c r="D16" s="87"/>
      <c r="E16" s="87"/>
      <c r="F16" s="87"/>
      <c r="G16" s="87"/>
      <c r="H16" s="88"/>
      <c r="I16" s="19"/>
      <c r="J16" s="35" t="b">
        <f t="shared" si="0"/>
        <v>0</v>
      </c>
    </row>
    <row r="17" spans="1:10" ht="62.25" customHeight="1" x14ac:dyDescent="0.3">
      <c r="A17" s="19">
        <v>9</v>
      </c>
      <c r="B17" s="20" t="s">
        <v>602</v>
      </c>
      <c r="C17" s="86" t="s">
        <v>639</v>
      </c>
      <c r="D17" s="87"/>
      <c r="E17" s="87"/>
      <c r="F17" s="87"/>
      <c r="G17" s="87"/>
      <c r="H17" s="88"/>
      <c r="I17" s="19"/>
      <c r="J17" s="35" t="b">
        <f t="shared" si="0"/>
        <v>0</v>
      </c>
    </row>
    <row r="18" spans="1:10" ht="49.5" customHeight="1" x14ac:dyDescent="0.3">
      <c r="A18" s="19">
        <v>10</v>
      </c>
      <c r="B18" s="20" t="s">
        <v>602</v>
      </c>
      <c r="C18" s="86" t="s">
        <v>640</v>
      </c>
      <c r="D18" s="87"/>
      <c r="E18" s="87"/>
      <c r="F18" s="87"/>
      <c r="G18" s="87"/>
      <c r="H18" s="88"/>
      <c r="I18" s="19"/>
      <c r="J18" s="35" t="b">
        <f t="shared" si="0"/>
        <v>0</v>
      </c>
    </row>
    <row r="19" spans="1:10" ht="46.5" customHeight="1" x14ac:dyDescent="0.3">
      <c r="A19" s="19">
        <v>11</v>
      </c>
      <c r="B19" s="20" t="s">
        <v>602</v>
      </c>
      <c r="C19" s="86" t="s">
        <v>641</v>
      </c>
      <c r="D19" s="87"/>
      <c r="E19" s="87"/>
      <c r="F19" s="87"/>
      <c r="G19" s="87"/>
      <c r="H19" s="88"/>
      <c r="I19" s="19"/>
      <c r="J19" s="35" t="b">
        <f t="shared" si="0"/>
        <v>0</v>
      </c>
    </row>
    <row r="20" spans="1:10" ht="48" customHeight="1" x14ac:dyDescent="0.3">
      <c r="A20" s="19">
        <v>12</v>
      </c>
      <c r="B20" s="20" t="s">
        <v>602</v>
      </c>
      <c r="C20" s="86" t="s">
        <v>643</v>
      </c>
      <c r="D20" s="87"/>
      <c r="E20" s="87"/>
      <c r="F20" s="87"/>
      <c r="G20" s="87"/>
      <c r="H20" s="88"/>
      <c r="I20" s="19"/>
      <c r="J20" s="35" t="b">
        <f t="shared" si="0"/>
        <v>0</v>
      </c>
    </row>
    <row r="21" spans="1:10" ht="65.25" customHeight="1" x14ac:dyDescent="0.3">
      <c r="A21" s="19">
        <v>13</v>
      </c>
      <c r="B21" s="20" t="s">
        <v>603</v>
      </c>
      <c r="C21" s="86" t="s">
        <v>642</v>
      </c>
      <c r="D21" s="87"/>
      <c r="E21" s="87"/>
      <c r="F21" s="87"/>
      <c r="G21" s="87"/>
      <c r="H21" s="88"/>
      <c r="I21" s="19"/>
      <c r="J21" s="35" t="b">
        <f t="shared" si="0"/>
        <v>0</v>
      </c>
    </row>
    <row r="22" spans="1:10" ht="46.5" customHeight="1" x14ac:dyDescent="0.3">
      <c r="A22" s="19">
        <v>14</v>
      </c>
      <c r="B22" s="20" t="s">
        <v>603</v>
      </c>
      <c r="C22" s="86" t="s">
        <v>644</v>
      </c>
      <c r="D22" s="87"/>
      <c r="E22" s="87"/>
      <c r="F22" s="87"/>
      <c r="G22" s="87"/>
      <c r="H22" s="88"/>
      <c r="I22" s="19"/>
      <c r="J22" s="35" t="b">
        <f t="shared" si="0"/>
        <v>0</v>
      </c>
    </row>
    <row r="23" spans="1:10" ht="59.25" customHeight="1" x14ac:dyDescent="0.3">
      <c r="A23" s="19">
        <v>15</v>
      </c>
      <c r="B23" s="20" t="s">
        <v>603</v>
      </c>
      <c r="C23" s="86" t="s">
        <v>754</v>
      </c>
      <c r="D23" s="87"/>
      <c r="E23" s="87"/>
      <c r="F23" s="87"/>
      <c r="G23" s="87"/>
      <c r="H23" s="88"/>
      <c r="I23" s="19"/>
      <c r="J23" s="35" t="b">
        <f t="shared" si="0"/>
        <v>0</v>
      </c>
    </row>
    <row r="24" spans="1:10" ht="46.5" customHeight="1" x14ac:dyDescent="0.3">
      <c r="A24" s="19">
        <v>16</v>
      </c>
      <c r="B24" s="20" t="s">
        <v>603</v>
      </c>
      <c r="C24" s="86" t="s">
        <v>645</v>
      </c>
      <c r="D24" s="87"/>
      <c r="E24" s="87"/>
      <c r="F24" s="87"/>
      <c r="G24" s="87"/>
      <c r="H24" s="88"/>
      <c r="I24" s="19"/>
      <c r="J24" s="35" t="b">
        <f t="shared" si="0"/>
        <v>0</v>
      </c>
    </row>
    <row r="25" spans="1:10" ht="18" customHeight="1" x14ac:dyDescent="0.3">
      <c r="A25" s="13"/>
      <c r="B25" s="22"/>
      <c r="C25" s="96" t="s">
        <v>729</v>
      </c>
      <c r="D25" s="97"/>
      <c r="E25" s="97"/>
      <c r="F25" s="97"/>
      <c r="G25" s="97"/>
      <c r="H25" s="97"/>
      <c r="I25" s="54" t="s">
        <v>620</v>
      </c>
      <c r="J25" s="55" t="s">
        <v>621</v>
      </c>
    </row>
    <row r="26" spans="1:10" ht="88.5" customHeight="1" x14ac:dyDescent="0.3">
      <c r="A26" s="19">
        <v>17</v>
      </c>
      <c r="B26" s="20" t="s">
        <v>604</v>
      </c>
      <c r="C26" s="86" t="s">
        <v>755</v>
      </c>
      <c r="D26" s="87"/>
      <c r="E26" s="87"/>
      <c r="F26" s="87"/>
      <c r="G26" s="87"/>
      <c r="H26" s="88"/>
      <c r="I26" s="19"/>
      <c r="J26" s="35" t="b">
        <f t="shared" si="0"/>
        <v>0</v>
      </c>
    </row>
    <row r="27" spans="1:10" ht="66.75" customHeight="1" x14ac:dyDescent="0.3">
      <c r="A27" s="19">
        <v>18</v>
      </c>
      <c r="B27" s="20" t="s">
        <v>605</v>
      </c>
      <c r="C27" s="86" t="s">
        <v>756</v>
      </c>
      <c r="D27" s="87"/>
      <c r="E27" s="87"/>
      <c r="F27" s="87"/>
      <c r="G27" s="87"/>
      <c r="H27" s="88"/>
      <c r="I27" s="19"/>
      <c r="J27" s="35" t="b">
        <f t="shared" si="0"/>
        <v>0</v>
      </c>
    </row>
    <row r="28" spans="1:10" ht="120" customHeight="1" x14ac:dyDescent="0.3">
      <c r="A28" s="19">
        <v>19</v>
      </c>
      <c r="B28" s="20" t="s">
        <v>606</v>
      </c>
      <c r="C28" s="86" t="s">
        <v>757</v>
      </c>
      <c r="D28" s="87"/>
      <c r="E28" s="87"/>
      <c r="F28" s="87"/>
      <c r="G28" s="87"/>
      <c r="H28" s="88"/>
      <c r="I28" s="19"/>
      <c r="J28" s="35" t="b">
        <f t="shared" si="0"/>
        <v>0</v>
      </c>
    </row>
    <row r="29" spans="1:10" ht="64.5" customHeight="1" x14ac:dyDescent="0.3">
      <c r="A29" s="19">
        <v>20</v>
      </c>
      <c r="B29" s="20" t="s">
        <v>607</v>
      </c>
      <c r="C29" s="86" t="s">
        <v>758</v>
      </c>
      <c r="D29" s="87"/>
      <c r="E29" s="87"/>
      <c r="F29" s="87"/>
      <c r="G29" s="87"/>
      <c r="H29" s="88"/>
      <c r="I29" s="19"/>
      <c r="J29" s="35" t="b">
        <f t="shared" si="0"/>
        <v>0</v>
      </c>
    </row>
    <row r="30" spans="1:10" ht="53.25" customHeight="1" x14ac:dyDescent="0.3">
      <c r="A30" s="19">
        <v>21</v>
      </c>
      <c r="B30" s="20" t="s">
        <v>608</v>
      </c>
      <c r="C30" s="86" t="s">
        <v>759</v>
      </c>
      <c r="D30" s="87"/>
      <c r="E30" s="87"/>
      <c r="F30" s="87"/>
      <c r="G30" s="87"/>
      <c r="H30" s="88"/>
      <c r="I30" s="19"/>
      <c r="J30" s="35" t="b">
        <f t="shared" si="0"/>
        <v>0</v>
      </c>
    </row>
    <row r="31" spans="1:10" ht="18" customHeight="1" x14ac:dyDescent="0.3">
      <c r="A31" s="13"/>
      <c r="B31" s="22"/>
      <c r="C31" s="96" t="s">
        <v>730</v>
      </c>
      <c r="D31" s="97"/>
      <c r="E31" s="97"/>
      <c r="F31" s="97"/>
      <c r="G31" s="97"/>
      <c r="H31" s="97"/>
      <c r="I31" s="54" t="s">
        <v>620</v>
      </c>
      <c r="J31" s="55" t="s">
        <v>621</v>
      </c>
    </row>
    <row r="32" spans="1:10" ht="83.25" customHeight="1" x14ac:dyDescent="0.3">
      <c r="A32" s="19">
        <v>22</v>
      </c>
      <c r="B32" s="20" t="s">
        <v>609</v>
      </c>
      <c r="C32" s="86" t="s">
        <v>646</v>
      </c>
      <c r="D32" s="87"/>
      <c r="E32" s="87"/>
      <c r="F32" s="87"/>
      <c r="G32" s="87"/>
      <c r="H32" s="88"/>
      <c r="I32" s="19"/>
      <c r="J32" s="35" t="b">
        <f t="shared" si="0"/>
        <v>0</v>
      </c>
    </row>
    <row r="33" spans="1:10" ht="43.5" customHeight="1" x14ac:dyDescent="0.3">
      <c r="A33" s="19">
        <v>23</v>
      </c>
      <c r="B33" s="20" t="s">
        <v>610</v>
      </c>
      <c r="C33" s="86" t="s">
        <v>647</v>
      </c>
      <c r="D33" s="87"/>
      <c r="E33" s="87"/>
      <c r="F33" s="87"/>
      <c r="G33" s="87"/>
      <c r="H33" s="88"/>
      <c r="I33" s="19"/>
      <c r="J33" s="35" t="b">
        <f t="shared" si="0"/>
        <v>0</v>
      </c>
    </row>
    <row r="34" spans="1:10" ht="60" customHeight="1" x14ac:dyDescent="0.3">
      <c r="A34" s="19">
        <v>24</v>
      </c>
      <c r="B34" s="19" t="s">
        <v>611</v>
      </c>
      <c r="C34" s="86" t="s">
        <v>760</v>
      </c>
      <c r="D34" s="87"/>
      <c r="E34" s="87"/>
      <c r="F34" s="87"/>
      <c r="G34" s="87"/>
      <c r="H34" s="88"/>
      <c r="I34" s="19"/>
      <c r="J34" s="35" t="b">
        <f t="shared" si="0"/>
        <v>0</v>
      </c>
    </row>
    <row r="35" spans="1:10" x14ac:dyDescent="0.3">
      <c r="J35" s="37"/>
    </row>
    <row r="36" spans="1:10" x14ac:dyDescent="0.3">
      <c r="J36" s="37"/>
    </row>
    <row r="37" spans="1:10" x14ac:dyDescent="0.3">
      <c r="J37" s="37"/>
    </row>
    <row r="38" spans="1:10" x14ac:dyDescent="0.3">
      <c r="J38" s="56"/>
    </row>
    <row r="39" spans="1:10" x14ac:dyDescent="0.3">
      <c r="J39" s="37"/>
    </row>
    <row r="40" spans="1:10" x14ac:dyDescent="0.3">
      <c r="J40" s="37"/>
    </row>
    <row r="41" spans="1:10" x14ac:dyDescent="0.3">
      <c r="J41" s="37"/>
    </row>
    <row r="42" spans="1:10" x14ac:dyDescent="0.3">
      <c r="J42" s="37"/>
    </row>
    <row r="44" spans="1:10" x14ac:dyDescent="0.3">
      <c r="J44" s="37"/>
    </row>
    <row r="45" spans="1:10" x14ac:dyDescent="0.3">
      <c r="J45" s="37"/>
    </row>
    <row r="46" spans="1:10" x14ac:dyDescent="0.3">
      <c r="J46" s="37"/>
    </row>
    <row r="47" spans="1:10" x14ac:dyDescent="0.3">
      <c r="J47" s="37"/>
    </row>
    <row r="48" spans="1:10" x14ac:dyDescent="0.3">
      <c r="J48" s="37"/>
    </row>
    <row r="49" spans="10:10" x14ac:dyDescent="0.3">
      <c r="J49" s="37"/>
    </row>
    <row r="50" spans="10:10" x14ac:dyDescent="0.3">
      <c r="J50" s="37"/>
    </row>
    <row r="51" spans="10:10" x14ac:dyDescent="0.3">
      <c r="J51" s="56"/>
    </row>
    <row r="52" spans="10:10" x14ac:dyDescent="0.3">
      <c r="J52" s="37"/>
    </row>
    <row r="53" spans="10:10" x14ac:dyDescent="0.3">
      <c r="J53" s="37"/>
    </row>
    <row r="54" spans="10:10" x14ac:dyDescent="0.3">
      <c r="J54" s="37"/>
    </row>
    <row r="55" spans="10:10" x14ac:dyDescent="0.3">
      <c r="J55" s="37"/>
    </row>
    <row r="56" spans="10:10" x14ac:dyDescent="0.3">
      <c r="J56" s="37"/>
    </row>
    <row r="57" spans="10:10" x14ac:dyDescent="0.3">
      <c r="J57" s="37"/>
    </row>
    <row r="58" spans="10:10" x14ac:dyDescent="0.3">
      <c r="J58" s="37"/>
    </row>
    <row r="59" spans="10:10" x14ac:dyDescent="0.3">
      <c r="J59" s="37"/>
    </row>
    <row r="60" spans="10:10" x14ac:dyDescent="0.3">
      <c r="J60" s="37"/>
    </row>
    <row r="61" spans="10:10" x14ac:dyDescent="0.3">
      <c r="J61" s="56"/>
    </row>
    <row r="62" spans="10:10" x14ac:dyDescent="0.3">
      <c r="J62" s="56"/>
    </row>
    <row r="63" spans="10:10" x14ac:dyDescent="0.3">
      <c r="J63" s="56"/>
    </row>
    <row r="64" spans="10:10" x14ac:dyDescent="0.3">
      <c r="J64" s="56"/>
    </row>
    <row r="65" spans="10:10" x14ac:dyDescent="0.3">
      <c r="J65" s="56"/>
    </row>
    <row r="66" spans="10:10" x14ac:dyDescent="0.3">
      <c r="J66" s="56"/>
    </row>
    <row r="67" spans="10:10" x14ac:dyDescent="0.3">
      <c r="J67" s="56"/>
    </row>
    <row r="68" spans="10:10" x14ac:dyDescent="0.3">
      <c r="J68" s="56"/>
    </row>
    <row r="69" spans="10:10" x14ac:dyDescent="0.3">
      <c r="J69" s="56"/>
    </row>
    <row r="70" spans="10:10" x14ac:dyDescent="0.3">
      <c r="J70" s="56"/>
    </row>
    <row r="71" spans="10:10" x14ac:dyDescent="0.3">
      <c r="J71" s="56"/>
    </row>
    <row r="72" spans="10:10" x14ac:dyDescent="0.3">
      <c r="J72" s="56"/>
    </row>
    <row r="73" spans="10:10" x14ac:dyDescent="0.3">
      <c r="J73" s="56"/>
    </row>
    <row r="74" spans="10:10" x14ac:dyDescent="0.3">
      <c r="J74" s="56"/>
    </row>
    <row r="75" spans="10:10" x14ac:dyDescent="0.3">
      <c r="J75" s="56"/>
    </row>
    <row r="76" spans="10:10" x14ac:dyDescent="0.3">
      <c r="J76" s="56"/>
    </row>
    <row r="77" spans="10:10" x14ac:dyDescent="0.3">
      <c r="J77" s="56"/>
    </row>
    <row r="78" spans="10:10" x14ac:dyDescent="0.3">
      <c r="J78" s="56"/>
    </row>
    <row r="79" spans="10:10" x14ac:dyDescent="0.3">
      <c r="J79" s="56"/>
    </row>
    <row r="80" spans="10:10" x14ac:dyDescent="0.3">
      <c r="J80" s="56"/>
    </row>
    <row r="81" spans="10:10" x14ac:dyDescent="0.3">
      <c r="J81" s="56"/>
    </row>
    <row r="82" spans="10:10" x14ac:dyDescent="0.3">
      <c r="J82" s="56"/>
    </row>
    <row r="83" spans="10:10" x14ac:dyDescent="0.3">
      <c r="J83" s="56"/>
    </row>
    <row r="84" spans="10:10" x14ac:dyDescent="0.3">
      <c r="J84" s="56"/>
    </row>
    <row r="85" spans="10:10" x14ac:dyDescent="0.3">
      <c r="J85" s="56"/>
    </row>
    <row r="86" spans="10:10" x14ac:dyDescent="0.3">
      <c r="J86" s="56"/>
    </row>
    <row r="87" spans="10:10" x14ac:dyDescent="0.3">
      <c r="J87" s="56"/>
    </row>
    <row r="88" spans="10:10" x14ac:dyDescent="0.3">
      <c r="J88" s="56"/>
    </row>
    <row r="89" spans="10:10" x14ac:dyDescent="0.3">
      <c r="J89" s="56"/>
    </row>
    <row r="90" spans="10:10" x14ac:dyDescent="0.3">
      <c r="J90" s="56"/>
    </row>
    <row r="91" spans="10:10" x14ac:dyDescent="0.3">
      <c r="J91" s="56"/>
    </row>
    <row r="92" spans="10:10" x14ac:dyDescent="0.3">
      <c r="J92" s="56"/>
    </row>
    <row r="93" spans="10:10" x14ac:dyDescent="0.3">
      <c r="J93" s="56"/>
    </row>
    <row r="94" spans="10:10" x14ac:dyDescent="0.3">
      <c r="J94" s="56"/>
    </row>
    <row r="95" spans="10:10" x14ac:dyDescent="0.3">
      <c r="J95" s="56"/>
    </row>
    <row r="96" spans="10:10" x14ac:dyDescent="0.3">
      <c r="J96" s="56"/>
    </row>
    <row r="97" spans="10:10" x14ac:dyDescent="0.3">
      <c r="J97" s="56"/>
    </row>
    <row r="98" spans="10:10" x14ac:dyDescent="0.3">
      <c r="J98" s="56"/>
    </row>
    <row r="99" spans="10:10" x14ac:dyDescent="0.3">
      <c r="J99" s="56"/>
    </row>
    <row r="100" spans="10:10" x14ac:dyDescent="0.3">
      <c r="J100" s="56"/>
    </row>
    <row r="101" spans="10:10" x14ac:dyDescent="0.3">
      <c r="J101" s="56"/>
    </row>
    <row r="102" spans="10:10" x14ac:dyDescent="0.3">
      <c r="J102" s="56"/>
    </row>
    <row r="103" spans="10:10" x14ac:dyDescent="0.3">
      <c r="J103" s="56"/>
    </row>
    <row r="104" spans="10:10" x14ac:dyDescent="0.3">
      <c r="J104" s="56"/>
    </row>
    <row r="105" spans="10:10" x14ac:dyDescent="0.3">
      <c r="J105" s="56"/>
    </row>
    <row r="106" spans="10:10" x14ac:dyDescent="0.3">
      <c r="J106" s="56"/>
    </row>
    <row r="107" spans="10:10" x14ac:dyDescent="0.3">
      <c r="J107" s="56"/>
    </row>
    <row r="108" spans="10:10" x14ac:dyDescent="0.3">
      <c r="J108" s="56"/>
    </row>
    <row r="109" spans="10:10" x14ac:dyDescent="0.3">
      <c r="J109" s="56"/>
    </row>
  </sheetData>
  <mergeCells count="29">
    <mergeCell ref="C33:H33"/>
    <mergeCell ref="C34:H34"/>
    <mergeCell ref="C26:H26"/>
    <mergeCell ref="C27:H27"/>
    <mergeCell ref="C28:H28"/>
    <mergeCell ref="C29:H29"/>
    <mergeCell ref="C30:H30"/>
    <mergeCell ref="C32:H32"/>
    <mergeCell ref="A6:J6"/>
    <mergeCell ref="C7:H7"/>
    <mergeCell ref="C24:H24"/>
    <mergeCell ref="C13:H13"/>
    <mergeCell ref="C14:H14"/>
    <mergeCell ref="C15:H15"/>
    <mergeCell ref="C16:H16"/>
    <mergeCell ref="C17:H17"/>
    <mergeCell ref="C18:H18"/>
    <mergeCell ref="C19:H19"/>
    <mergeCell ref="C20:H20"/>
    <mergeCell ref="C21:H21"/>
    <mergeCell ref="C22:H22"/>
    <mergeCell ref="C23:H23"/>
    <mergeCell ref="C12:H12"/>
    <mergeCell ref="C25:H25"/>
    <mergeCell ref="C31:H31"/>
    <mergeCell ref="C11:H11"/>
    <mergeCell ref="C8:H8"/>
    <mergeCell ref="C9:H9"/>
    <mergeCell ref="C10:H10"/>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Lista!$C$2:$C$5</xm:f>
          </x14:formula1>
          <xm:sqref>I32:I34 I13:I24 I26:I30 I8:I11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D5"/>
  <sheetViews>
    <sheetView workbookViewId="0">
      <selection activeCell="D10" sqref="D10"/>
    </sheetView>
  </sheetViews>
  <sheetFormatPr baseColWidth="10" defaultRowHeight="14.4" x14ac:dyDescent="0.3"/>
  <cols>
    <col min="3" max="3" width="22.5546875" customWidth="1"/>
  </cols>
  <sheetData>
    <row r="1" spans="3:4" x14ac:dyDescent="0.3">
      <c r="C1" s="23" t="s">
        <v>619</v>
      </c>
      <c r="D1" s="23" t="s">
        <v>618</v>
      </c>
    </row>
    <row r="2" spans="3:4" x14ac:dyDescent="0.3">
      <c r="C2" s="24" t="s">
        <v>614</v>
      </c>
      <c r="D2" s="25">
        <v>2</v>
      </c>
    </row>
    <row r="3" spans="3:4" x14ac:dyDescent="0.3">
      <c r="C3" s="24" t="s">
        <v>615</v>
      </c>
      <c r="D3" s="25">
        <v>0</v>
      </c>
    </row>
    <row r="4" spans="3:4" x14ac:dyDescent="0.3">
      <c r="C4" s="24" t="s">
        <v>616</v>
      </c>
      <c r="D4" s="25">
        <v>1</v>
      </c>
    </row>
    <row r="5" spans="3:4" x14ac:dyDescent="0.3">
      <c r="C5" s="24" t="s">
        <v>617</v>
      </c>
      <c r="D5" s="25">
        <v>2</v>
      </c>
    </row>
  </sheetData>
  <pageMargins left="0.7" right="0.7" top="0.75" bottom="0.75" header="0.3" footer="0.3"/>
  <pageSetup orientation="portrait" verticalDpi="599"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3"/>
  <sheetViews>
    <sheetView zoomScaleNormal="100" workbookViewId="0">
      <selection activeCell="B7" sqref="B7"/>
    </sheetView>
  </sheetViews>
  <sheetFormatPr baseColWidth="10" defaultRowHeight="14.4" x14ac:dyDescent="0.3"/>
  <cols>
    <col min="1" max="1" width="40" customWidth="1"/>
    <col min="2" max="2" width="22.5546875" customWidth="1"/>
    <col min="3" max="3" width="25.21875" customWidth="1"/>
    <col min="4" max="4" width="21.5546875" customWidth="1"/>
    <col min="5" max="5" width="33.44140625" customWidth="1"/>
  </cols>
  <sheetData>
    <row r="2" spans="1:6" ht="15" thickBot="1" x14ac:dyDescent="0.35">
      <c r="A2" s="71" t="s">
        <v>753</v>
      </c>
    </row>
    <row r="3" spans="1:6" ht="15.6" x14ac:dyDescent="0.3">
      <c r="A3" s="122" t="s">
        <v>623</v>
      </c>
      <c r="B3" s="123"/>
      <c r="C3" s="123"/>
      <c r="D3" s="123"/>
      <c r="E3" s="124"/>
    </row>
    <row r="4" spans="1:6" ht="15.6" x14ac:dyDescent="0.3">
      <c r="A4" s="125" t="s">
        <v>622</v>
      </c>
      <c r="B4" s="126"/>
      <c r="C4" s="126"/>
      <c r="D4" s="127"/>
      <c r="E4" s="128"/>
    </row>
    <row r="5" spans="1:6" s="66" customFormat="1" ht="31.2" x14ac:dyDescent="0.3">
      <c r="A5" s="61" t="s">
        <v>630</v>
      </c>
      <c r="B5" s="62" t="s">
        <v>627</v>
      </c>
      <c r="C5" s="63" t="s">
        <v>628</v>
      </c>
      <c r="D5" s="64" t="s">
        <v>631</v>
      </c>
      <c r="E5" s="65" t="s">
        <v>629</v>
      </c>
    </row>
    <row r="6" spans="1:6" ht="34.5" customHeight="1" x14ac:dyDescent="0.3">
      <c r="A6" s="57" t="s">
        <v>751</v>
      </c>
      <c r="B6" s="39">
        <v>226</v>
      </c>
      <c r="C6" s="39">
        <f>SUM('SST sector EL. y Actividades'!J8:J129)</f>
        <v>164</v>
      </c>
      <c r="D6" s="68">
        <f t="shared" ref="D6:D11" si="0">C6/B6</f>
        <v>0.72566371681415931</v>
      </c>
      <c r="E6" s="41">
        <f>(D6*16.6666%)</f>
        <v>0.12094346902654866</v>
      </c>
    </row>
    <row r="7" spans="1:6" ht="15" x14ac:dyDescent="0.3">
      <c r="A7" s="58" t="s">
        <v>624</v>
      </c>
      <c r="B7" s="39">
        <v>220</v>
      </c>
      <c r="C7" s="39">
        <f>SUM('Centrales Térmicas'!J8:J118)</f>
        <v>0</v>
      </c>
      <c r="D7" s="68">
        <f t="shared" si="0"/>
        <v>0</v>
      </c>
      <c r="E7" s="41">
        <f t="shared" ref="E7:E11" si="1">(D7*16.6666%)</f>
        <v>0</v>
      </c>
      <c r="F7" s="40"/>
    </row>
    <row r="8" spans="1:6" ht="15" x14ac:dyDescent="0.3">
      <c r="A8" s="58" t="s">
        <v>625</v>
      </c>
      <c r="B8" s="39">
        <v>94</v>
      </c>
      <c r="C8" s="39">
        <f>SUM('C. Hidroeléctricas'!J8:J55)</f>
        <v>0</v>
      </c>
      <c r="D8" s="68">
        <f t="shared" si="0"/>
        <v>0</v>
      </c>
      <c r="E8" s="41">
        <f t="shared" si="1"/>
        <v>0</v>
      </c>
    </row>
    <row r="9" spans="1:6" ht="15" x14ac:dyDescent="0.3">
      <c r="A9" s="58" t="s">
        <v>749</v>
      </c>
      <c r="B9" s="39">
        <v>76</v>
      </c>
      <c r="C9" s="39">
        <f>SUM('L. Transmisión'!J7:J48)</f>
        <v>0</v>
      </c>
      <c r="D9" s="68">
        <f t="shared" si="0"/>
        <v>0</v>
      </c>
      <c r="E9" s="41">
        <f t="shared" si="1"/>
        <v>0</v>
      </c>
    </row>
    <row r="10" spans="1:6" ht="15" x14ac:dyDescent="0.3">
      <c r="A10" s="58" t="s">
        <v>750</v>
      </c>
      <c r="B10" s="39">
        <v>154</v>
      </c>
      <c r="C10" s="39">
        <f>SUM('Redes de distribución'!J7:J85)</f>
        <v>0</v>
      </c>
      <c r="D10" s="68">
        <f t="shared" si="0"/>
        <v>0</v>
      </c>
      <c r="E10" s="41">
        <f t="shared" si="1"/>
        <v>0</v>
      </c>
    </row>
    <row r="11" spans="1:6" ht="15.6" thickBot="1" x14ac:dyDescent="0.35">
      <c r="A11" s="59" t="s">
        <v>626</v>
      </c>
      <c r="B11" s="42">
        <v>48</v>
      </c>
      <c r="C11" s="42">
        <f>SUM(Comercialización!J8:J34)</f>
        <v>0</v>
      </c>
      <c r="D11" s="68">
        <f t="shared" si="0"/>
        <v>0</v>
      </c>
      <c r="E11" s="43">
        <f t="shared" si="1"/>
        <v>0</v>
      </c>
    </row>
    <row r="12" spans="1:6" ht="16.2" thickBot="1" x14ac:dyDescent="0.35">
      <c r="A12" s="49"/>
      <c r="B12" s="50"/>
      <c r="C12" s="53" t="s">
        <v>632</v>
      </c>
      <c r="D12" s="52"/>
      <c r="E12" s="60">
        <f>SUM(E6:E11)</f>
        <v>0.12094346902654866</v>
      </c>
    </row>
    <row r="13" spans="1:6" ht="28.2" thickBot="1" x14ac:dyDescent="0.35">
      <c r="E13" s="67" t="s">
        <v>633</v>
      </c>
    </row>
  </sheetData>
  <mergeCells count="2">
    <mergeCell ref="A3:E3"/>
    <mergeCell ref="A4:E4"/>
  </mergeCells>
  <pageMargins left="0.7" right="0.7" top="0.75" bottom="0.75" header="0.3" footer="0.3"/>
  <pageSetup orientation="portrait" verticalDpi="599"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ImageCreateDate xmlns="2DF62EDF-6C46-46B5-811E-AB7615DF9809" xsi:nil="true"/>
    <PublishingExpirationDate xmlns="http://schemas.microsoft.com/sharepoint/v3" xsi:nil="true"/>
    <PublishingStartDate xmlns="http://schemas.microsoft.com/sharepoint/v3" xsi:nil="true"/>
    <wic_System_Copyright xmlns="http://schemas.microsoft.com/sharepoint/v3/fields" xsi:nil="true"/>
    <_dlc_DocId xmlns="297d7ce5-35f8-41eb-a2d0-f8b1c8292501">SURA-1449473456-1271</_dlc_DocId>
    <_dlc_DocIdUrl xmlns="297d7ce5-35f8-41eb-a2d0-f8b1c8292501">
      <Url>https://suramericana.sharepoint.com/sites/intranet/negocio/arl/portafolio/_layouts/15/DocIdRedir.aspx?ID=SURA-1449473456-1271</Url>
      <Description>SURA-1449473456-1271</Description>
    </_dlc_DocIdUrl>
    <lcf76f155ced4ddcb4097134ff3c332f xmlns="2df62edf-6c46-46b5-811e-ab7615df9809">
      <Terms xmlns="http://schemas.microsoft.com/office/infopath/2007/PartnerControls"/>
    </lcf76f155ced4ddcb4097134ff3c332f>
    <TaxCatchAll xmlns="297d7ce5-35f8-41eb-a2d0-f8b1c829250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Activo de imagen" ma:contentTypeID="0x0101009148F5A04DDD49CBA7127AADA5FB792B00AADE34325A8B49CDA8BB4DB53328F21400AAC21E660978CC4181B5F8479E1064E0" ma:contentTypeVersion="934" ma:contentTypeDescription="Cargar una imagen." ma:contentTypeScope="" ma:versionID="a1ab57ea33accf6847f2847c00b0de11">
  <xsd:schema xmlns:xsd="http://www.w3.org/2001/XMLSchema" xmlns:xs="http://www.w3.org/2001/XMLSchema" xmlns:p="http://schemas.microsoft.com/office/2006/metadata/properties" xmlns:ns1="http://schemas.microsoft.com/sharepoint/v3" xmlns:ns2="2DF62EDF-6C46-46B5-811E-AB7615DF9809" xmlns:ns3="http://schemas.microsoft.com/sharepoint/v3/fields" xmlns:ns4="297d7ce5-35f8-41eb-a2d0-f8b1c8292501" xmlns:ns5="2df62edf-6c46-46b5-811e-ab7615df9809" targetNamespace="http://schemas.microsoft.com/office/2006/metadata/properties" ma:root="true" ma:fieldsID="8ab0df27f3d2d2bf4549c2668b668f05" ns1:_="" ns2:_="" ns3:_="" ns4:_="" ns5:_="">
    <xsd:import namespace="http://schemas.microsoft.com/sharepoint/v3"/>
    <xsd:import namespace="2DF62EDF-6C46-46B5-811E-AB7615DF9809"/>
    <xsd:import namespace="http://schemas.microsoft.com/sharepoint/v3/fields"/>
    <xsd:import namespace="297d7ce5-35f8-41eb-a2d0-f8b1c8292501"/>
    <xsd:import namespace="2df62edf-6c46-46b5-811e-ab7615df9809"/>
    <xsd:element name="properties">
      <xsd:complexType>
        <xsd:sequence>
          <xsd:element name="documentManagement">
            <xsd:complexType>
              <xsd:all>
                <xsd:element ref="ns1:FileRef" minOccurs="0"/>
                <xsd:element ref="ns1:File_x0020_Type" minOccurs="0"/>
                <xsd:element ref="ns1:HTML_x0020_File_x0020_Type" minOccurs="0"/>
                <xsd:element ref="ns1:FSObjType" minOccurs="0"/>
                <xsd:element ref="ns2:ThumbnailExists" minOccurs="0"/>
                <xsd:element ref="ns2:PreviewExists" minOccurs="0"/>
                <xsd:element ref="ns2:ImageWidth" minOccurs="0"/>
                <xsd:element ref="ns2:ImageHeight" minOccurs="0"/>
                <xsd:element ref="ns2:ImageCreateDate" minOccurs="0"/>
                <xsd:element ref="ns3:wic_System_Copyright" minOccurs="0"/>
                <xsd:element ref="ns4:_dlc_DocId" minOccurs="0"/>
                <xsd:element ref="ns4:_dlc_DocIdUrl" minOccurs="0"/>
                <xsd:element ref="ns4:_dlc_DocIdPersistId" minOccurs="0"/>
                <xsd:element ref="ns1:PublishingStartDate" minOccurs="0"/>
                <xsd:element ref="ns1:PublishingExpirationDate" minOccurs="0"/>
                <xsd:element ref="ns5:MediaServiceMetadata" minOccurs="0"/>
                <xsd:element ref="ns5:MediaServiceFastMetadata" minOccurs="0"/>
                <xsd:element ref="ns5:MediaServiceAutoTags" minOccurs="0"/>
                <xsd:element ref="ns5:MediaServiceDateTaken" minOccurs="0"/>
                <xsd:element ref="ns5:MediaServiceOCR" minOccurs="0"/>
                <xsd:element ref="ns1:_ip_UnifiedCompliancePolicyProperties" minOccurs="0"/>
                <xsd:element ref="ns1:_ip_UnifiedCompliancePolicyUIAction" minOccurs="0"/>
                <xsd:element ref="ns5:MediaServiceGenerationTime" minOccurs="0"/>
                <xsd:element ref="ns5:MediaServiceEventHashCode" minOccurs="0"/>
                <xsd:element ref="ns5: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FileRef" ma:index="8" nillable="true" ma:displayName="Dirección URL" ma:hidden="true" ma:list="Docs" ma:internalName="FileRef" ma:readOnly="true" ma:showField="FullUrl">
      <xsd:simpleType>
        <xsd:restriction base="dms:Lookup"/>
      </xsd:simpleType>
    </xsd:element>
    <xsd:element name="File_x0020_Type" ma:index="9" nillable="true" ma:displayName="Tipo de archivo" ma:hidden="true" ma:internalName="File_x0020_Type" ma:readOnly="true">
      <xsd:simpleType>
        <xsd:restriction base="dms:Text"/>
      </xsd:simpleType>
    </xsd:element>
    <xsd:element name="HTML_x0020_File_x0020_Type" ma:index="10" nillable="true" ma:displayName="Tipo de archivo HTML" ma:hidden="true" ma:internalName="HTML_x0020_File_x0020_Type" ma:readOnly="true">
      <xsd:simpleType>
        <xsd:restriction base="dms:Text"/>
      </xsd:simpleType>
    </xsd:element>
    <xsd:element name="FSObjType" ma:index="11" nillable="true" ma:displayName="Tipo de elemento" ma:hidden="true" ma:list="Docs" ma:internalName="FSObjType" ma:readOnly="true" ma:showField="FSType">
      <xsd:simpleType>
        <xsd:restriction base="dms:Lookup"/>
      </xsd:simpleType>
    </xsd:element>
    <xsd:element name="PublishingStartDate" ma:index="30" nillable="true" ma:displayName="Fecha de inicio programada" ma:description="" ma:hidden="true" ma:internalName="PublishingStartDate">
      <xsd:simpleType>
        <xsd:restriction base="dms:Unknown"/>
      </xsd:simpleType>
    </xsd:element>
    <xsd:element name="PublishingExpirationDate" ma:index="31" nillable="true" ma:displayName="Fecha de finalización programada" ma:description="" ma:hidden="true" ma:internalName="PublishingExpirationDate">
      <xsd:simpleType>
        <xsd:restriction base="dms:Unknown"/>
      </xsd:simpleType>
    </xsd:element>
    <xsd:element name="_ip_UnifiedCompliancePolicyProperties" ma:index="37" nillable="true" ma:displayName="Propiedades de la Directiva de cumplimiento unificado" ma:hidden="true" ma:internalName="_ip_UnifiedCompliancePolicyProperties">
      <xsd:simpleType>
        <xsd:restriction base="dms:Note"/>
      </xsd:simpleType>
    </xsd:element>
    <xsd:element name="_ip_UnifiedCompliancePolicyUIAction" ma:index="3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F62EDF-6C46-46B5-811E-AB7615DF9809" elementFormDefault="qualified">
    <xsd:import namespace="http://schemas.microsoft.com/office/2006/documentManagement/types"/>
    <xsd:import namespace="http://schemas.microsoft.com/office/infopath/2007/PartnerControls"/>
    <xsd:element name="ThumbnailExists" ma:index="18" nillable="true" ma:displayName="La miniatura ya existe" ma:default="FALSE" ma:hidden="true" ma:internalName="ThumbnailExists" ma:readOnly="true">
      <xsd:simpleType>
        <xsd:restriction base="dms:Boolean"/>
      </xsd:simpleType>
    </xsd:element>
    <xsd:element name="PreviewExists" ma:index="19" nillable="true" ma:displayName="La vista previa ya existe" ma:default="FALSE" ma:hidden="true" ma:internalName="PreviewExists" ma:readOnly="true">
      <xsd:simpleType>
        <xsd:restriction base="dms:Boolean"/>
      </xsd:simpleType>
    </xsd:element>
    <xsd:element name="ImageWidth" ma:index="20" nillable="true" ma:displayName="Ancho" ma:internalName="ImageWidth" ma:readOnly="true">
      <xsd:simpleType>
        <xsd:restriction base="dms:Unknown"/>
      </xsd:simpleType>
    </xsd:element>
    <xsd:element name="ImageHeight" ma:index="22" nillable="true" ma:displayName="Alto" ma:internalName="ImageHeight" ma:readOnly="true">
      <xsd:simpleType>
        <xsd:restriction base="dms:Unknown"/>
      </xsd:simpleType>
    </xsd:element>
    <xsd:element name="ImageCreateDate" ma:index="25" nillable="true" ma:displayName="Fecha de captura de la imagen" ma:format="DateTime" ma:hidden="true" ma:internalName="ImageCreat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wic_System_Copyright" ma:index="26"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7d7ce5-35f8-41eb-a2d0-f8b1c8292501" elementFormDefault="qualified">
    <xsd:import namespace="http://schemas.microsoft.com/office/2006/documentManagement/types"/>
    <xsd:import namespace="http://schemas.microsoft.com/office/infopath/2007/PartnerControls"/>
    <xsd:element name="_dlc_DocId" ma:index="27" nillable="true" ma:displayName="Valor de Id. de documento" ma:description="El valor del identificador de documento asignado a este elemento." ma:internalName="_dlc_DocId" ma:readOnly="true">
      <xsd:simpleType>
        <xsd:restriction base="dms:Text"/>
      </xsd:simpleType>
    </xsd:element>
    <xsd:element name="_dlc_DocIdUrl" ma:index="28"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element name="TaxCatchAll" ma:index="43" nillable="true" ma:displayName="Columna global de taxonomía" ma:hidden="true" ma:list="{956e5f63-25ea-49c7-82b0-7acb193f354a}" ma:internalName="TaxCatchAll" ma:showField="CatchAllData" ma:web="297d7ce5-35f8-41eb-a2d0-f8b1c829250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f62edf-6c46-46b5-811e-ab7615df9809" elementFormDefault="qualified">
    <xsd:import namespace="http://schemas.microsoft.com/office/2006/documentManagement/types"/>
    <xsd:import namespace="http://schemas.microsoft.com/office/infopath/2007/PartnerControls"/>
    <xsd:element name="MediaServiceMetadata" ma:index="32" nillable="true" ma:displayName="MediaServiceMetadata" ma:hidden="true" ma:internalName="MediaServiceMetadata" ma:readOnly="true">
      <xsd:simpleType>
        <xsd:restriction base="dms:Note"/>
      </xsd:simpleType>
    </xsd:element>
    <xsd:element name="MediaServiceFastMetadata" ma:index="33" nillable="true" ma:displayName="MediaServiceFastMetadata" ma:hidden="true" ma:internalName="MediaServiceFastMetadata" ma:readOnly="true">
      <xsd:simpleType>
        <xsd:restriction base="dms:Note"/>
      </xsd:simpleType>
    </xsd:element>
    <xsd:element name="MediaServiceAutoTags" ma:index="34" nillable="true" ma:displayName="Tags" ma:internalName="MediaServiceAutoTags"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EventHashCode" ma:index="40" nillable="true" ma:displayName="MediaServiceEventHashCode" ma:hidden="true" ma:internalName="MediaServiceEventHashCode" ma:readOnly="true">
      <xsd:simpleType>
        <xsd:restriction base="dms:Text"/>
      </xsd:simpleType>
    </xsd:element>
    <xsd:element name="lcf76f155ced4ddcb4097134ff3c332f" ma:index="42" nillable="true" ma:taxonomy="true" ma:internalName="lcf76f155ced4ddcb4097134ff3c332f" ma:taxonomyFieldName="MediaServiceImageTags" ma:displayName="Etiquetas de imagen" ma:readOnly="false" ma:fieldId="{5cf76f15-5ced-4ddc-b409-7134ff3c332f}" ma:taxonomyMulti="true" ma:sspId="68ae7bf6-5ac9-4edb-a7e0-886d92fb71e5"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4" ma:displayName="Autor"/>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ma:index="23" ma:displayName="Comentarios"/>
        <xsd:element name="keywords" minOccurs="0" maxOccurs="1" type="xsd:string" ma:index="14" ma:displayName="Palabras clave"/>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680375-6E6A-48A5-A609-B7A4E920AE62}">
  <ds:schemaRefs>
    <ds:schemaRef ds:uri="http://schemas.microsoft.com/office/2006/metadata/properties"/>
    <ds:schemaRef ds:uri="http://purl.org/dc/terms/"/>
    <ds:schemaRef ds:uri="http://www.w3.org/XML/1998/namespace"/>
    <ds:schemaRef ds:uri="4aab698e-067c-4339-8941-f415a90b3823"/>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297d7ce5-35f8-41eb-a2d0-f8b1c8292501"/>
    <ds:schemaRef ds:uri="http://schemas.microsoft.com/sharepoint/v3"/>
    <ds:schemaRef ds:uri="2DF62EDF-6C46-46B5-811E-AB7615DF9809"/>
    <ds:schemaRef ds:uri="http://schemas.microsoft.com/sharepoint/v3/fields"/>
    <ds:schemaRef ds:uri="2df62edf-6c46-46b5-811e-ab7615df9809"/>
  </ds:schemaRefs>
</ds:datastoreItem>
</file>

<file path=customXml/itemProps2.xml><?xml version="1.0" encoding="utf-8"?>
<ds:datastoreItem xmlns:ds="http://schemas.openxmlformats.org/officeDocument/2006/customXml" ds:itemID="{2DE74803-8417-4105-BF6F-CF172161DC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DF62EDF-6C46-46B5-811E-AB7615DF9809"/>
    <ds:schemaRef ds:uri="http://schemas.microsoft.com/sharepoint/v3/fields"/>
    <ds:schemaRef ds:uri="297d7ce5-35f8-41eb-a2d0-f8b1c8292501"/>
    <ds:schemaRef ds:uri="2df62edf-6c46-46b5-811e-ab7615df98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2F676-8A55-4510-AFB3-3C75FB947A38}">
  <ds:schemaRefs>
    <ds:schemaRef ds:uri="http://schemas.microsoft.com/sharepoint/events"/>
  </ds:schemaRefs>
</ds:datastoreItem>
</file>

<file path=customXml/itemProps4.xml><?xml version="1.0" encoding="utf-8"?>
<ds:datastoreItem xmlns:ds="http://schemas.openxmlformats.org/officeDocument/2006/customXml" ds:itemID="{03A248EA-DD6A-4612-84DE-738CD68E4C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Portada</vt:lpstr>
      <vt:lpstr>Siglas</vt:lpstr>
      <vt:lpstr>SST sector EL. y Actividades</vt:lpstr>
      <vt:lpstr>Centrales Térmicas</vt:lpstr>
      <vt:lpstr>C. Hidroeléctricas</vt:lpstr>
      <vt:lpstr>L. Transmisión</vt:lpstr>
      <vt:lpstr>Redes de distribución</vt:lpstr>
      <vt:lpstr>Comercialización</vt:lpstr>
      <vt:lpstr>Lista</vt:lpstr>
      <vt:lpstr>Resultados</vt:lpstr>
    </vt:vector>
  </TitlesOfParts>
  <Company>Suramericana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xguzman@sura.com.co</dc:creator>
  <cp:keywords/>
  <dc:description/>
  <cp:lastModifiedBy>leislie Marcela Coral Duarte</cp:lastModifiedBy>
  <cp:lastPrinted>2020-04-09T11:46:32Z</cp:lastPrinted>
  <dcterms:created xsi:type="dcterms:W3CDTF">2017-09-20T15:11:12Z</dcterms:created>
  <dcterms:modified xsi:type="dcterms:W3CDTF">2022-08-05T02:09:03Z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0x0101009148F5A04DDD49CBA7127AADA5FB792B00AADE34325A8B49CDA8BB4DB53328F21400AAC21E660978CC4181B5F8479E1064E0</vt:lpwstr>
  </property>
  <property fmtid="{D5CDD505-2E9C-101B-9397-08002B2CF9AE}" pid="3" name="_dlc_DocIdItemGuid">
    <vt:lpwstr>2df5bf97-e392-4d25-9589-1abcddfa1504</vt:lpwstr>
  </property>
</Properties>
</file>